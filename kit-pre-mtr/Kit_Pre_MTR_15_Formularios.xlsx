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F01" sheetId="2" state="visible" r:id="rId4"/>
    <sheet name="F02" sheetId="3" state="visible" r:id="rId5"/>
    <sheet name="F03" sheetId="4" state="visible" r:id="rId6"/>
    <sheet name="F04" sheetId="5" state="visible" r:id="rId7"/>
    <sheet name="F05" sheetId="6" state="visible" r:id="rId8"/>
    <sheet name="F06" sheetId="7" state="visible" r:id="rId9"/>
    <sheet name="F07" sheetId="8" state="visible" r:id="rId10"/>
    <sheet name="F08" sheetId="9" state="visible" r:id="rId11"/>
    <sheet name="F09" sheetId="10" state="visible" r:id="rId12"/>
    <sheet name="F10" sheetId="11" state="visible" r:id="rId13"/>
    <sheet name="F11" sheetId="12" state="visible" r:id="rId14"/>
    <sheet name="F12" sheetId="13" state="visible" r:id="rId15"/>
    <sheet name="F13" sheetId="14" state="visible" r:id="rId16"/>
    <sheet name="F14" sheetId="15" state="visible" r:id="rId17"/>
    <sheet name="F15" sheetId="16" state="visible" r:id="rId18"/>
    <sheet name="Orientações" sheetId="17" state="visible" r:id="rId19"/>
    <sheet name="Listas" sheetId="18" state="hidden" r:id="rId20"/>
  </sheets>
  <definedNames>
    <definedName function="false" hidden="false" localSheetId="1" name="_xlnm.Print_Area" vbProcedure="false">F01!$B$2:$M$41</definedName>
    <definedName function="false" hidden="false" localSheetId="2" name="_xlnm.Print_Area" vbProcedure="false">F02!$B$2:$M$42</definedName>
    <definedName function="false" hidden="false" localSheetId="3" name="_xlnm.Print_Area" vbProcedure="false">F03!$B$2:$M$38</definedName>
    <definedName function="false" hidden="false" localSheetId="4" name="_xlnm.Print_Area" vbProcedure="false">F04!$B$2:$M$38</definedName>
    <definedName function="false" hidden="false" localSheetId="5" name="_xlnm.Print_Area" vbProcedure="false">F05!$B$2:$M$39</definedName>
    <definedName function="false" hidden="false" localSheetId="6" name="_xlnm.Print_Area" vbProcedure="false">F06!$B$2:$M$38</definedName>
    <definedName function="false" hidden="false" localSheetId="7" name="_xlnm.Print_Area" vbProcedure="false">F07!$B$2:$M$41</definedName>
    <definedName function="false" hidden="false" localSheetId="8" name="_xlnm.Print_Area" vbProcedure="false">F08!$B$2:$M$60</definedName>
    <definedName function="false" hidden="false" localSheetId="9" name="_xlnm.Print_Area" vbProcedure="false">F09!$B$2:$M$38</definedName>
    <definedName function="false" hidden="false" localSheetId="10" name="_xlnm.Print_Area" vbProcedure="false">F10!$B$2:$M$39</definedName>
    <definedName function="false" hidden="false" localSheetId="11" name="_xlnm.Print_Area" vbProcedure="false">F11!$B$2:$M$37</definedName>
    <definedName function="false" hidden="false" localSheetId="12" name="_xlnm.Print_Area" vbProcedure="false">F12!$B$2:$M$39</definedName>
    <definedName function="false" hidden="false" localSheetId="13" name="_xlnm.Print_Area" vbProcedure="false">F13!$B$2:$M$39</definedName>
    <definedName function="false" hidden="false" localSheetId="14" name="_xlnm.Print_Area" vbProcedure="false">F14!$B$2:$M$39</definedName>
    <definedName function="false" hidden="false" localSheetId="15" name="_xlnm.Print_Area" vbProcedure="false">F15!$B$2:$M$39</definedName>
    <definedName function="false" hidden="false" localSheetId="0" name="_xlnm.Print_Area" vbProcedure="false">Início!$B$2:$G$41</definedName>
    <definedName function="false" hidden="false" localSheetId="16" name="_xlnm.Print_Area" vbProcedure="false">Orientações!$B$2:$D$29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<sst xmlns="http://schemas.openxmlformats.org/spreadsheetml/2006/main" count="876" uniqueCount="510">
  <si>
    <t xml:space="preserve">KIT DE FORMULÁRIOS PARA A GESTÃO DE RESÍDUOS · VERSÃO 1.0</t>
  </si>
  <si>
    <t xml:space="preserve">KIT PRÉ-MTR</t>
  </si>
  <si>
    <t xml:space="preserve">15 Formulários Prontos para Coletas e Movimentação de Resíduos</t>
  </si>
  <si>
    <t xml:space="preserve">Modelos editáveis para organizar, conferir, registrar e acompanhar informações da rotina ambiental.  15 formulários | 3 categorias | Prontos para preencher</t>
  </si>
  <si>
    <t xml:space="preserve">ⓘ  Os formulários deste kit são modelos internos de organização e registro. Não substituem documentos oficiais, avaliações técnicas ou procedimentos exigidos pelos órgãos competentes.</t>
  </si>
  <si>
    <t xml:space="preserve">COMO UTILIZAR</t>
  </si>
  <si>
    <t xml:space="preserve">1</t>
  </si>
  <si>
    <t xml:space="preserve">Escolha o formulário</t>
  </si>
  <si>
    <t xml:space="preserve">Clique em Abrir no índice abaixo ou use as abas F01 a F15.</t>
  </si>
  <si>
    <t xml:space="preserve">2</t>
  </si>
  <si>
    <t xml:space="preserve">Preencha as informações</t>
  </si>
  <si>
    <t xml:space="preserve">Digite nas células em tom claro com borda. Nas células com seta, escolha na lista.</t>
  </si>
  <si>
    <t xml:space="preserve">3</t>
  </si>
  <si>
    <t xml:space="preserve">Confira com os responsáveis</t>
  </si>
  <si>
    <t xml:space="preserve">Valide os dados com o setor, o transportador ou o destinador antes de usar.</t>
  </si>
  <si>
    <t xml:space="preserve">4</t>
  </si>
  <si>
    <t xml:space="preserve">Salve ou imprima</t>
  </si>
  <si>
    <t xml:space="preserve">Salve uma cópia da planilha ou use Arquivo &gt; Imprimir (cada aba já está ajustada para A4).</t>
  </si>
  <si>
    <t xml:space="preserve">LEGENDA DAS CÉLULAS</t>
  </si>
  <si>
    <t xml:space="preserve">Célula clara com borda: campo para preencher. As demais células são títulos e orientações.</t>
  </si>
  <si>
    <t xml:space="preserve">X</t>
  </si>
  <si>
    <t xml:space="preserve">Marcação: escolha X na lista. Situações (Conferido, Pendente, Não aplicável) e outras opções também abrem em lista.</t>
  </si>
  <si>
    <t xml:space="preserve">Exemplo de formato: data 23/10/2026 · horário 14:30 · quantidade 1250,5 com a unidade kg no campo ao lado.</t>
  </si>
  <si>
    <t xml:space="preserve">ÍNDICE DOS FORMULÁRIOS</t>
  </si>
  <si>
    <t xml:space="preserve">Código</t>
  </si>
  <si>
    <t xml:space="preserve">Formulário</t>
  </si>
  <si>
    <t xml:space="preserve">Para que serve</t>
  </si>
  <si>
    <t xml:space="preserve">Registro nº</t>
  </si>
  <si>
    <t xml:space="preserve">Andamento</t>
  </si>
  <si>
    <t xml:space="preserve">Abrir</t>
  </si>
  <si>
    <t xml:space="preserve">Categoria 01 · Preparação da coleta</t>
  </si>
  <si>
    <t xml:space="preserve">F01</t>
  </si>
  <si>
    <t xml:space="preserve">Solicitação de coleta de resíduos</t>
  </si>
  <si>
    <t xml:space="preserve">Registre o pedido de retirada de resíduos e acompanhe a confirmação.</t>
  </si>
  <si>
    <t xml:space="preserve">Abrir ›</t>
  </si>
  <si>
    <t xml:space="preserve">F02</t>
  </si>
  <si>
    <t xml:space="preserve">Ficha de identificação do resíduo</t>
  </si>
  <si>
    <t xml:space="preserve">Organize em um só lugar as informações disponíveis sobre um resíduo.</t>
  </si>
  <si>
    <t xml:space="preserve">F03</t>
  </si>
  <si>
    <t xml:space="preserve">Levantamento de quantidades de resíduos</t>
  </si>
  <si>
    <t xml:space="preserve">Anote quantidades estimadas ou verificadas, resíduo por resíduo.</t>
  </si>
  <si>
    <t xml:space="preserve">F04</t>
  </si>
  <si>
    <t xml:space="preserve">Conferência de acondicionamento</t>
  </si>
  <si>
    <t xml:space="preserve">Faça uma conferência visual dos recipientes e registre o que precisa ser verificado.</t>
  </si>
  <si>
    <t xml:space="preserve">F05</t>
  </si>
  <si>
    <t xml:space="preserve">Agendamento de coleta</t>
  </si>
  <si>
    <t xml:space="preserve">Organize data, transportador, carga prevista e orientações de acesso.</t>
  </si>
  <si>
    <t xml:space="preserve">Categoria 02 · Dados e movimentação</t>
  </si>
  <si>
    <t xml:space="preserve">F06</t>
  </si>
  <si>
    <t xml:space="preserve">Ficha cadastral do transportador</t>
  </si>
  <si>
    <t xml:space="preserve">Reúna os dados do transportador e acompanhe o que precisa ser conferido.</t>
  </si>
  <si>
    <t xml:space="preserve">F07</t>
  </si>
  <si>
    <t xml:space="preserve">Ficha cadastral do destinador</t>
  </si>
  <si>
    <t xml:space="preserve">Registre os dados da unidade destinadora, os resíduos previstos e as referências a conferir.</t>
  </si>
  <si>
    <t xml:space="preserve">F08</t>
  </si>
  <si>
    <t xml:space="preserve">Ficha preparatória de informações para MTR</t>
  </si>
  <si>
    <t xml:space="preserve">Reúna e confira os dados antes de lançar o MTR no sistema.</t>
  </si>
  <si>
    <t xml:space="preserve">F09</t>
  </si>
  <si>
    <t xml:space="preserve">Checklist de conferência documental pré-saída</t>
  </si>
  <si>
    <t xml:space="preserve">Confira os itens documentais e operacionais antes da saída da carga.</t>
  </si>
  <si>
    <t xml:space="preserve">F10</t>
  </si>
  <si>
    <t xml:space="preserve">Registro de confirmação de retirada</t>
  </si>
  <si>
    <t xml:space="preserve">Registre como foi a retirada: horário, transportador, resíduos e divergências.</t>
  </si>
  <si>
    <t xml:space="preserve">Categoria 03 · Acompanhamento operacional</t>
  </si>
  <si>
    <t xml:space="preserve">F11</t>
  </si>
  <si>
    <t xml:space="preserve">Registro de informações do recebimento</t>
  </si>
  <si>
    <t xml:space="preserve">Organize as informações recebidas sobre a chegada da carga ao destino.</t>
  </si>
  <si>
    <t xml:space="preserve">F12</t>
  </si>
  <si>
    <t xml:space="preserve">Registro de divergência de quantidade</t>
  </si>
  <si>
    <t xml:space="preserve">Documente uma diferença entre a quantidade informada e a verificada.</t>
  </si>
  <si>
    <t xml:space="preserve">F13</t>
  </si>
  <si>
    <t xml:space="preserve">Registro de ocorrência na coleta ou movimentação</t>
  </si>
  <si>
    <t xml:space="preserve">Registre fatos operacionais que precisam de acompanhamento.</t>
  </si>
  <si>
    <t xml:space="preserve">F14</t>
  </si>
  <si>
    <t xml:space="preserve">Registro de pendência documental</t>
  </si>
  <si>
    <t xml:space="preserve">Detalhe uma pendência específica e acompanhe cada contato até o encerramento.</t>
  </si>
  <si>
    <t xml:space="preserve">F15</t>
  </si>
  <si>
    <t xml:space="preserve">Registro de encerramento do acompanhamento</t>
  </si>
  <si>
    <t xml:space="preserve">Registre o encerramento interno de um acompanhamento específico.</t>
  </si>
  <si>
    <t xml:space="preserve">Orientações finais de utilização ›</t>
  </si>
  <si>
    <t xml:space="preserve">Andamento conta as células preenchidas de cada formulário, incluindo o Registro nº. Os itens sugeridos já escritos nas tabelas não entram na contagem.</t>
  </si>
  <si>
    <t xml:space="preserve">‹ Voltar ao índice</t>
  </si>
  <si>
    <t xml:space="preserve">FORMULÁRIO 01 · CATEGORIA: PREPARAÇÃO DA COLETA</t>
  </si>
  <si>
    <t xml:space="preserve">Versão</t>
  </si>
  <si>
    <t xml:space="preserve">1.0</t>
  </si>
  <si>
    <t xml:space="preserve">Finalidade de uso: Registrar internamente um pedido de coleta e acompanhar sua confirmação.</t>
  </si>
  <si>
    <t xml:space="preserve">ⓘ  Use quando um setor ou unidade pedir a retirada de resíduos. Preencha com os dados disponíveis e atualize a situação até a coleta ser confirmada.</t>
  </si>
  <si>
    <t xml:space="preserve">A</t>
  </si>
  <si>
    <t xml:space="preserve">Identificação da solicitação</t>
  </si>
  <si>
    <t xml:space="preserve">Empresa solicitante</t>
  </si>
  <si>
    <t xml:space="preserve">Unidade ou local de origem</t>
  </si>
  <si>
    <t xml:space="preserve">Responsável pela solicitação</t>
  </si>
  <si>
    <t xml:space="preserve">Contato profissional (telefone ou e-mail)</t>
  </si>
  <si>
    <t xml:space="preserve">Data da solicitação</t>
  </si>
  <si>
    <t xml:space="preserve">B</t>
  </si>
  <si>
    <t xml:space="preserve">Resíduos a coletar</t>
  </si>
  <si>
    <t xml:space="preserve">Nº</t>
  </si>
  <si>
    <t xml:space="preserve">Tipo ou descrição do resíduo</t>
  </si>
  <si>
    <t xml:space="preserve">Quantidade estimada</t>
  </si>
  <si>
    <t xml:space="preserve">Unidade de medida</t>
  </si>
  <si>
    <t xml:space="preserve">Forma de acondicionamento</t>
  </si>
  <si>
    <t xml:space="preserve">Para mais linhas, selecione a última linha da tabela, copie e use Inserir células copiadas.</t>
  </si>
  <si>
    <t xml:space="preserve">C</t>
  </si>
  <si>
    <t xml:space="preserve">Retirada</t>
  </si>
  <si>
    <t xml:space="preserve">Local previsto para retirada</t>
  </si>
  <si>
    <t xml:space="preserve">Data preferencial</t>
  </si>
  <si>
    <t xml:space="preserve">Observações operacionais</t>
  </si>
  <si>
    <t xml:space="preserve">D</t>
  </si>
  <si>
    <t xml:space="preserve">Acompanhamento da solicitação</t>
  </si>
  <si>
    <t xml:space="preserve">Situação da solicitação  (escolha na lista)</t>
  </si>
  <si>
    <t xml:space="preserve">Confirmado com (nome e empresa)</t>
  </si>
  <si>
    <t xml:space="preserve">Data da confirmação</t>
  </si>
  <si>
    <t xml:space="preserve">Data acertada para a coleta</t>
  </si>
  <si>
    <t xml:space="preserve">Informações de confirmação</t>
  </si>
  <si>
    <t xml:space="preserve">E</t>
  </si>
  <si>
    <t xml:space="preserve">Registro</t>
  </si>
  <si>
    <t xml:space="preserve">Preenchido por</t>
  </si>
  <si>
    <t xml:space="preserve">Data do registro</t>
  </si>
  <si>
    <t xml:space="preserve">F01 · Solicitação de coleta de resíduos</t>
  </si>
  <si>
    <t xml:space="preserve">Modelo interno de organização e registro · Versão 1.0</t>
  </si>
  <si>
    <t xml:space="preserve">FORMULÁRIO 02 · CATEGORIA: PREPARAÇÃO DA COLETA</t>
  </si>
  <si>
    <t xml:space="preserve">Finalidade de uso: Organizar as informações disponíveis sobre um resíduo gerado.</t>
  </si>
  <si>
    <t xml:space="preserve">ⓘ  Use uma ficha para cada resíduo, registrando de onde veio cada informação. A ficha organiza dados e não substitui a avaliação técnica nem a documentação exigível.</t>
  </si>
  <si>
    <t xml:space="preserve">Origem</t>
  </si>
  <si>
    <t xml:space="preserve">Unidade geradora</t>
  </si>
  <si>
    <t xml:space="preserve">Setor ou atividade de origem</t>
  </si>
  <si>
    <t xml:space="preserve">Responsável pelas informações</t>
  </si>
  <si>
    <t xml:space="preserve">Contato profissional</t>
  </si>
  <si>
    <t xml:space="preserve">Data do levantamento</t>
  </si>
  <si>
    <t xml:space="preserve">Identificação do resíduo</t>
  </si>
  <si>
    <t xml:space="preserve">Identificação do resíduo (nome usado internamente)</t>
  </si>
  <si>
    <t xml:space="preserve">Código de identificação, quando aplicável</t>
  </si>
  <si>
    <t xml:space="preserve">Descrição</t>
  </si>
  <si>
    <t xml:space="preserve">Estado físico, quando pertinente  (escolha na lista)</t>
  </si>
  <si>
    <t xml:space="preserve">Classificação técnica</t>
  </si>
  <si>
    <t xml:space="preserve">Classificação técnica informada ou verificada</t>
  </si>
  <si>
    <t xml:space="preserve">Responsável técnico consultado, se houver</t>
  </si>
  <si>
    <t xml:space="preserve">Origem da informação  (escolha na lista)</t>
  </si>
  <si>
    <t xml:space="preserve">Referência utilizada para conferência</t>
  </si>
  <si>
    <t xml:space="preserve">Data da referência</t>
  </si>
  <si>
    <t xml:space="preserve">Quantidade e acondicionamento</t>
  </si>
  <si>
    <t xml:space="preserve">Período de referência</t>
  </si>
  <si>
    <t xml:space="preserve">Observações e registro</t>
  </si>
  <si>
    <t xml:space="preserve">Observações</t>
  </si>
  <si>
    <t xml:space="preserve">Próxima revisão</t>
  </si>
  <si>
    <t xml:space="preserve">F02 · Ficha de identificação do resíduo</t>
  </si>
  <si>
    <t xml:space="preserve">FORMULÁRIO 03 · CATEGORIA: PREPARAÇÃO DA COLETA</t>
  </si>
  <si>
    <t xml:space="preserve">Finalidade de uso: Registrar quantidades estimadas ou verificadas de cada resíduo.</t>
  </si>
  <si>
    <t xml:space="preserve">ⓘ  Use em levantamentos periódicos ou antes de programar uma coleta. Indique sempre a unidade de medida e de onde veio cada valor.</t>
  </si>
  <si>
    <t xml:space="preserve">Identificação do levantamento</t>
  </si>
  <si>
    <t xml:space="preserve">Empresa</t>
  </si>
  <si>
    <t xml:space="preserve">Unidade</t>
  </si>
  <si>
    <t xml:space="preserve">Setor</t>
  </si>
  <si>
    <t xml:space="preserve">Responsável pelo levantamento</t>
  </si>
  <si>
    <t xml:space="preserve">Quantidades levantadas</t>
  </si>
  <si>
    <t xml:space="preserve">Identificação ou descrição do resíduo</t>
  </si>
  <si>
    <t xml:space="preserve">Quantidade</t>
  </si>
  <si>
    <t xml:space="preserve">Origem da informação</t>
  </si>
  <si>
    <t xml:space="preserve">Os valores não são somados automaticamente, porque podem estar em unidades diferentes. Peso, volume e número de volumes não são equivalentes entre si.  Para mais linhas, selecione a última linha da tabela, copie e use Inserir células copiadas.</t>
  </si>
  <si>
    <t xml:space="preserve">Observações e conferência</t>
  </si>
  <si>
    <t xml:space="preserve">Observações gerais</t>
  </si>
  <si>
    <t xml:space="preserve">Conferido por</t>
  </si>
  <si>
    <t xml:space="preserve">Data da conferência</t>
  </si>
  <si>
    <t xml:space="preserve">F03 · Levantamento de quantidades de resíduos</t>
  </si>
  <si>
    <t xml:space="preserve">FORMULÁRIO 04 · CATEGORIA: PREPARAÇÃO DA COLETA</t>
  </si>
  <si>
    <t xml:space="preserve">Finalidade de uso: Apoiar a conferência visual do acondicionamento antes da coleta.</t>
  </si>
  <si>
    <t xml:space="preserve">ⓘ  Registre o que foi observado em cada recipiente e encaminhe os pontos que precisam de verificação. Esta ficha não substitui inspeções, normas técnicas ou procedimentos internos.</t>
  </si>
  <si>
    <t xml:space="preserve">Identificação da conferência</t>
  </si>
  <si>
    <t xml:space="preserve">Local</t>
  </si>
  <si>
    <t xml:space="preserve">Área ou setor</t>
  </si>
  <si>
    <t xml:space="preserve">Data</t>
  </si>
  <si>
    <t xml:space="preserve">Responsável pela conferência</t>
  </si>
  <si>
    <t xml:space="preserve">Horário</t>
  </si>
  <si>
    <t xml:space="preserve">Itens observados</t>
  </si>
  <si>
    <t xml:space="preserve">Resíduo identificado</t>
  </si>
  <si>
    <t xml:space="preserve">Recipiente ou acondicionamento observado</t>
  </si>
  <si>
    <t xml:space="preserve">Identificação disponível</t>
  </si>
  <si>
    <t xml:space="preserve">Condição visual observada</t>
  </si>
  <si>
    <t xml:space="preserve">Ponto a verificar</t>
  </si>
  <si>
    <t xml:space="preserve">V = Verificado · NC = Necessita conferência · NA = Não aplicável  Para mais linhas, selecione a última linha da tabela, copie e use Inserir células copiadas.</t>
  </si>
  <si>
    <t xml:space="preserve">Pontos para verificação</t>
  </si>
  <si>
    <t xml:space="preserve">Pontos que necessitam de verificação</t>
  </si>
  <si>
    <t xml:space="preserve">Encaminhamento</t>
  </si>
  <si>
    <t xml:space="preserve">Encaminhado a (responsável competente)</t>
  </si>
  <si>
    <t xml:space="preserve">Área</t>
  </si>
  <si>
    <t xml:space="preserve">Data do encaminhamento</t>
  </si>
  <si>
    <t xml:space="preserve">Forma de comunicação  (escolha na lista)</t>
  </si>
  <si>
    <t xml:space="preserve">Retorno recebido</t>
  </si>
  <si>
    <t xml:space="preserve">F04 · Conferência de acondicionamento</t>
  </si>
  <si>
    <t xml:space="preserve">FORMULÁRIO 05 · CATEGORIA: PREPARAÇÃO DA COLETA</t>
  </si>
  <si>
    <t xml:space="preserve">Finalidade de uso: Organizar as informações de uma coleta programada.</t>
  </si>
  <si>
    <t xml:space="preserve">ⓘ  Use depois que a coleta for combinada com o transportador. Deixe registradas as orientações de acesso e o responsável que vai acompanhar a retirada.</t>
  </si>
  <si>
    <t xml:space="preserve">Dados da coleta</t>
  </si>
  <si>
    <t xml:space="preserve">Empresa geradora</t>
  </si>
  <si>
    <t xml:space="preserve">Local de coleta</t>
  </si>
  <si>
    <t xml:space="preserve">Data programada</t>
  </si>
  <si>
    <t xml:space="preserve">Janela prevista: das</t>
  </si>
  <si>
    <t xml:space="preserve">às</t>
  </si>
  <si>
    <t xml:space="preserve">Referência da movimentação</t>
  </si>
  <si>
    <t xml:space="preserve">Empresa transportadora</t>
  </si>
  <si>
    <t xml:space="preserve">Contato de referência (nome e telefone)</t>
  </si>
  <si>
    <t xml:space="preserve">Carga prevista</t>
  </si>
  <si>
    <t xml:space="preserve">Resíduo ou carga prevista</t>
  </si>
  <si>
    <t xml:space="preserve">Acondicionamento</t>
  </si>
  <si>
    <t xml:space="preserve">Acesso e orientações</t>
  </si>
  <si>
    <t xml:space="preserve">Informações de acesso ao local</t>
  </si>
  <si>
    <t xml:space="preserve">Orientações operacionais internas</t>
  </si>
  <si>
    <t xml:space="preserve">Acompanhamento</t>
  </si>
  <si>
    <t xml:space="preserve">Responsável pelo acompanhamento</t>
  </si>
  <si>
    <t xml:space="preserve">Contato do responsável</t>
  </si>
  <si>
    <t xml:space="preserve">Situação do agendamento  (escolha na lista)</t>
  </si>
  <si>
    <t xml:space="preserve">Nova data, se reprogramado</t>
  </si>
  <si>
    <t xml:space="preserve">F05 · Agendamento de coleta</t>
  </si>
  <si>
    <t xml:space="preserve">FORMULÁRIO 06 · CATEGORIA: DADOS E MOVIMENTAÇÃO</t>
  </si>
  <si>
    <t xml:space="preserve">Finalidade de uso: Organizar os dados cadastrais de um transportador e as conferências realizadas.</t>
  </si>
  <si>
    <t xml:space="preserve">ⓘ  Atualize a ficha a cada conferência e registre a fonte das informações. A ficha organiza dados e não comprova habilitação, licenciamento ou regularidade.</t>
  </si>
  <si>
    <t xml:space="preserve">Dados da empresa</t>
  </si>
  <si>
    <t xml:space="preserve">Razão social</t>
  </si>
  <si>
    <t xml:space="preserve">CNPJ</t>
  </si>
  <si>
    <t xml:space="preserve">Endereço ou unidade de referência</t>
  </si>
  <si>
    <t xml:space="preserve">Telefone ou e-mail corporativo</t>
  </si>
  <si>
    <t xml:space="preserve">Sistema de registro</t>
  </si>
  <si>
    <t xml:space="preserve">Sistema aplicável, quando pertinente</t>
  </si>
  <si>
    <t xml:space="preserve">Identificação ou cadastro no sistema</t>
  </si>
  <si>
    <t xml:space="preserve">Informações cadastrais no sistema</t>
  </si>
  <si>
    <t xml:space="preserve">Documentos ou informações a conferir</t>
  </si>
  <si>
    <t xml:space="preserve">Documento ou informação</t>
  </si>
  <si>
    <t xml:space="preserve">Número ou referência</t>
  </si>
  <si>
    <t xml:space="preserve">Validade informada</t>
  </si>
  <si>
    <t xml:space="preserve">Situação</t>
  </si>
  <si>
    <t xml:space="preserve">Licença ou autorização ambiental aplicável</t>
  </si>
  <si>
    <t xml:space="preserve">Cadastro no sistema de MTR, se aplicável</t>
  </si>
  <si>
    <t xml:space="preserve">Documentos do veículo (procedimento interno)</t>
  </si>
  <si>
    <t xml:space="preserve">Contato operacional atualizado</t>
  </si>
  <si>
    <t xml:space="preserve">C = Conferido · P = Pendente · NA = Não aplicável  Para mais linhas, selecione a última linha da tabela, copie e use Inserir células copiadas.</t>
  </si>
  <si>
    <t xml:space="preserve">Conferência</t>
  </si>
  <si>
    <t xml:space="preserve">Data da última conferência</t>
  </si>
  <si>
    <t xml:space="preserve">Próxima conferência prevista</t>
  </si>
  <si>
    <t xml:space="preserve">F06 · Ficha cadastral do transportador</t>
  </si>
  <si>
    <t xml:space="preserve">FORMULÁRIO 07 · CATEGORIA: DADOS E MOVIMENTAÇÃO</t>
  </si>
  <si>
    <t xml:space="preserve">Finalidade de uso: Organizar os dados de uma unidade destinadora e as referências conferidas.</t>
  </si>
  <si>
    <t xml:space="preserve">ⓘ  Use uma ficha para cada unidade destinadora. Registre os resíduos previstos e o serviço pretendido para cada um.</t>
  </si>
  <si>
    <t xml:space="preserve">Unidade destinadora</t>
  </si>
  <si>
    <t xml:space="preserve">Localização (endereço, município e UF)</t>
  </si>
  <si>
    <t xml:space="preserve">Resíduos e serviço</t>
  </si>
  <si>
    <t xml:space="preserve">Resíduo previsto</t>
  </si>
  <si>
    <t xml:space="preserve">Serviço ou destinação pretendida</t>
  </si>
  <si>
    <t xml:space="preserve">Referências documentais a conferir</t>
  </si>
  <si>
    <t xml:space="preserve">Referência documental</t>
  </si>
  <si>
    <t xml:space="preserve">Licença ambiental da unidade, conforme atividade</t>
  </si>
  <si>
    <t xml:space="preserve">Contrato ou proposta de serviço</t>
  </si>
  <si>
    <t xml:space="preserve">Emissão do comprovante de destinação</t>
  </si>
  <si>
    <t xml:space="preserve">Sistema de registro aplicável, quando identificado</t>
  </si>
  <si>
    <t xml:space="preserve">F07 · Ficha cadastral do destinador</t>
  </si>
  <si>
    <t xml:space="preserve">FORMULÁRIO 08 · CATEGORIA: DADOS E MOVIMENTAÇÃO</t>
  </si>
  <si>
    <t xml:space="preserve">Finalidade de uso: Reunir e conferir previamente os dados que podem ser necessários ao preenchimento do MTR.</t>
  </si>
  <si>
    <t xml:space="preserve">ⓘ  Preencha antes de acessar o sistema e confira cada participante. Os campos exigidos podem variar conforme o sistema utilizado.</t>
  </si>
  <si>
    <t xml:space="preserve">⚠  Ficha interna preparatória. Não substitui o MTR emitido no sistema aplicável.</t>
  </si>
  <si>
    <t xml:space="preserve">Identificação</t>
  </si>
  <si>
    <t xml:space="preserve">Referência interna da movimentação</t>
  </si>
  <si>
    <t xml:space="preserve">Sistema a ser utilizado, quando identificado</t>
  </si>
  <si>
    <t xml:space="preserve">Participantes da movimentação</t>
  </si>
  <si>
    <t xml:space="preserve">GERADOR</t>
  </si>
  <si>
    <t xml:space="preserve">Dados  (escolha na lista)</t>
  </si>
  <si>
    <t xml:space="preserve">Unidade de origem</t>
  </si>
  <si>
    <t xml:space="preserve">TRANSPORTADOR</t>
  </si>
  <si>
    <t xml:space="preserve">Veículo ou placa, quando informado</t>
  </si>
  <si>
    <t xml:space="preserve">DESTINADOR</t>
  </si>
  <si>
    <t xml:space="preserve">ARMAZENADOR TEMPORÁRIO, SE APLICÁVEL</t>
  </si>
  <si>
    <t xml:space="preserve">Não se aplica a esta movimentação</t>
  </si>
  <si>
    <t xml:space="preserve">Resíduos da movimentação</t>
  </si>
  <si>
    <t xml:space="preserve">Resíduo</t>
  </si>
  <si>
    <t xml:space="preserve">Código ou identificação aplicável</t>
  </si>
  <si>
    <t xml:space="preserve">Conferido</t>
  </si>
  <si>
    <t xml:space="preserve">Observações e pendências</t>
  </si>
  <si>
    <t xml:space="preserve">Observações sobre a movimentação</t>
  </si>
  <si>
    <t xml:space="preserve">Informação pendente</t>
  </si>
  <si>
    <t xml:space="preserve">Quem vai informar</t>
  </si>
  <si>
    <t xml:space="preserve">Prazo</t>
  </si>
  <si>
    <t xml:space="preserve">Resolvida</t>
  </si>
  <si>
    <t xml:space="preserve">Situação da ficha  (escolha na lista)</t>
  </si>
  <si>
    <t xml:space="preserve">F08 · Ficha preparatória de informações para MTR</t>
  </si>
  <si>
    <t xml:space="preserve">FORMULÁRIO 09 · CATEGORIA: DADOS E MOVIMENTAÇÃO</t>
  </si>
  <si>
    <t xml:space="preserve">Finalidade de uso: Apoiar a conferência documental interna antes da saída da carga.</t>
  </si>
  <si>
    <t xml:space="preserve">ⓘ  Marque cada item antes da saída e registre o que ficou pendente. O checklist apoia a conferência interna e não comprova o cumprimento de todas as obrigações aplicáveis.</t>
  </si>
  <si>
    <t xml:space="preserve">Local de saída</t>
  </si>
  <si>
    <t xml:space="preserve">Itens de conferência</t>
  </si>
  <si>
    <t xml:space="preserve">Item de conferência</t>
  </si>
  <si>
    <t xml:space="preserve">Observação</t>
  </si>
  <si>
    <t xml:space="preserve">Identificação do resíduo conferida</t>
  </si>
  <si>
    <t xml:space="preserve">Quantidade informada conferida</t>
  </si>
  <si>
    <t xml:space="preserve">Dados do transportador verificados</t>
  </si>
  <si>
    <t xml:space="preserve">Dados do destinador verificados</t>
  </si>
  <si>
    <t xml:space="preserve">Documento de transporte aplicável verificado, conforme o sistema utilizado</t>
  </si>
  <si>
    <t xml:space="preserve">Informações operacionais da coleta confirmadas</t>
  </si>
  <si>
    <t xml:space="preserve">Pendências registradas</t>
  </si>
  <si>
    <t xml:space="preserve">Referências adicionais aplicáveis verificadas, quando houver</t>
  </si>
  <si>
    <t xml:space="preserve">Escolha Conferido, Pendente ou Não aplicável em cada item. As últimas linhas ficam livres para itens próprios da sua empresa.</t>
  </si>
  <si>
    <t xml:space="preserve">Resultado da conferência</t>
  </si>
  <si>
    <t xml:space="preserve">Resultado  (escolha na lista)</t>
  </si>
  <si>
    <t xml:space="preserve">Pendências e encaminhamentos</t>
  </si>
  <si>
    <t xml:space="preserve">F09 · Checklist de conferência documental pré-saída</t>
  </si>
  <si>
    <t xml:space="preserve">FORMULÁRIO 10 · CATEGORIA: DADOS E MOVIMENTAÇÃO</t>
  </si>
  <si>
    <t xml:space="preserve">Finalidade de uso: Registrar internamente a retirada dos resíduos no local de origem.</t>
  </si>
  <si>
    <t xml:space="preserve">ⓘ  Preencha no momento da retirada ou logo depois, com as informações observadas.</t>
  </si>
  <si>
    <t xml:space="preserve">⚠  Registro interno. Não substitui os documentos de transporte aplicáveis.</t>
  </si>
  <si>
    <t xml:space="preserve">Dados da retirada</t>
  </si>
  <si>
    <t xml:space="preserve">Empresa ou unidade geradora</t>
  </si>
  <si>
    <t xml:space="preserve">Local da retirada</t>
  </si>
  <si>
    <t xml:space="preserve">Transportador informado</t>
  </si>
  <si>
    <t xml:space="preserve">Resíduos retirados</t>
  </si>
  <si>
    <t xml:space="preserve">Quantidade informada</t>
  </si>
  <si>
    <t xml:space="preserve">Quantidade observada</t>
  </si>
  <si>
    <t xml:space="preserve">Divergências</t>
  </si>
  <si>
    <t xml:space="preserve">Divergências  (escolha na lista)</t>
  </si>
  <si>
    <t xml:space="preserve">Divergências registradas</t>
  </si>
  <si>
    <t xml:space="preserve">F10 · Registro de confirmação de retirada</t>
  </si>
  <si>
    <t xml:space="preserve">FORMULÁRIO 11 · CATEGORIA: ACOMPANHAMENTO OPERACIONAL</t>
  </si>
  <si>
    <t xml:space="preserve">Finalidade de uso: Organizar as informações recebidas sobre a chegada da carga ao destino.</t>
  </si>
  <si>
    <t xml:space="preserve">ⓘ  Registre a confirmação de recebimento e a fonte da informação. O recebimento pode acontecer antes da destinação final, que deve ser acompanhada à parte.</t>
  </si>
  <si>
    <t xml:space="preserve">Movimentação</t>
  </si>
  <si>
    <t xml:space="preserve">Referência do MTR, quando aplicável</t>
  </si>
  <si>
    <t xml:space="preserve">Gerador</t>
  </si>
  <si>
    <t xml:space="preserve">Transportador</t>
  </si>
  <si>
    <t xml:space="preserve">Destinador</t>
  </si>
  <si>
    <t xml:space="preserve">Resíduos e quantidades</t>
  </si>
  <si>
    <t xml:space="preserve">Quantidade enviada</t>
  </si>
  <si>
    <t xml:space="preserve">Quantidade recebida informada</t>
  </si>
  <si>
    <t xml:space="preserve">Divergência</t>
  </si>
  <si>
    <t xml:space="preserve">Confirmação do recebimento</t>
  </si>
  <si>
    <t xml:space="preserve">Data informada do recebimento</t>
  </si>
  <si>
    <t xml:space="preserve">Data em que a informação foi obtida</t>
  </si>
  <si>
    <t xml:space="preserve">Quem informou</t>
  </si>
  <si>
    <t xml:space="preserve">Fonte da confirmação  (escolha na lista)</t>
  </si>
  <si>
    <t xml:space="preserve">Divergências e registro</t>
  </si>
  <si>
    <t xml:space="preserve">Divergências identificadas</t>
  </si>
  <si>
    <t xml:space="preserve">Responsável pelo registro</t>
  </si>
  <si>
    <t xml:space="preserve">F11 · Registro de informações do recebimento</t>
  </si>
  <si>
    <t xml:space="preserve">FORMULÁRIO 12 · CATEGORIA: ACOMPANHAMENTO OPERACIONAL</t>
  </si>
  <si>
    <t xml:space="preserve">Finalidade de uso: Documentar internamente uma possível divergência de quantidade.</t>
  </si>
  <si>
    <t xml:space="preserve">ⓘ  Registre os dois valores com a unidade e a fonte de cada um. A diferença só é calculada quando as unidades forem iguais.</t>
  </si>
  <si>
    <t xml:space="preserve">Identificação da movimentação</t>
  </si>
  <si>
    <t xml:space="preserve">Data da identificação</t>
  </si>
  <si>
    <t xml:space="preserve">Valores comparados</t>
  </si>
  <si>
    <t xml:space="preserve">QUANTIDADE ORIGINALMENTE INFORMADA</t>
  </si>
  <si>
    <t xml:space="preserve">Fonte do valor</t>
  </si>
  <si>
    <t xml:space="preserve">QUANTIDADE RECEBIDA OU VERIFICADA</t>
  </si>
  <si>
    <t xml:space="preserve">Diferença, quando as unidades forem comparáveis</t>
  </si>
  <si>
    <t xml:space="preserve">% sobre a quantidade informada</t>
  </si>
  <si>
    <t xml:space="preserve">Cálculo automático: quantidade verificada menos quantidade informada, e o percentual sobre a quantidade informada. Só é feito quando as duas unidades de medida são iguais. Peso, volume e número de volumes não são convertidos.</t>
  </si>
  <si>
    <t xml:space="preserve">Descrição da divergência</t>
  </si>
  <si>
    <t xml:space="preserve">Comunicação e acompanhamento</t>
  </si>
  <si>
    <t xml:space="preserve">Responsável comunicado</t>
  </si>
  <si>
    <t xml:space="preserve">Empresa ou área</t>
  </si>
  <si>
    <t xml:space="preserve">Data da comunicação</t>
  </si>
  <si>
    <t xml:space="preserve">Situação do acompanhamento  (escolha na lista)</t>
  </si>
  <si>
    <t xml:space="preserve">Observações finais</t>
  </si>
  <si>
    <t xml:space="preserve">F12 · Registro de divergência de quantidade</t>
  </si>
  <si>
    <t xml:space="preserve">FORMULÁRIO 13 · CATEGORIA: ACOMPANHAMENTO OPERACIONAL</t>
  </si>
  <si>
    <t xml:space="preserve">Finalidade de uso: Registrar situações operacionais que precisam de acompanhamento.</t>
  </si>
  <si>
    <t xml:space="preserve">ⓘ  Descreva os fatos de forma objetiva, sem suposições. Em situações de emergência, as equipes devem seguir os procedimentos de segurança aplicáveis.</t>
  </si>
  <si>
    <t xml:space="preserve">Unidade ou empresa envolvida</t>
  </si>
  <si>
    <t xml:space="preserve">Ocorrência</t>
  </si>
  <si>
    <t xml:space="preserve">Tipo de ocorrência  (marque com X as opções que se aplicam)</t>
  </si>
  <si>
    <t xml:space="preserve">Atraso ou não comparecimento na coleta</t>
  </si>
  <si>
    <t xml:space="preserve">Reprogramação</t>
  </si>
  <si>
    <t xml:space="preserve">Divergência de informação ou documento</t>
  </si>
  <si>
    <t xml:space="preserve">Carga recusada ou devolvida</t>
  </si>
  <si>
    <t xml:space="preserve">Dificuldade de acesso ao local</t>
  </si>
  <si>
    <t xml:space="preserve">Condição de acondicionamento observada</t>
  </si>
  <si>
    <t xml:space="preserve">Outra</t>
  </si>
  <si>
    <t xml:space="preserve">Se outra, especifique</t>
  </si>
  <si>
    <t xml:space="preserve">Descrição objetiva dos fatos</t>
  </si>
  <si>
    <t xml:space="preserve">Comunicação e encaminhamento</t>
  </si>
  <si>
    <t xml:space="preserve">Pessoa ou área profissional comunicada</t>
  </si>
  <si>
    <t xml:space="preserve">Forma</t>
  </si>
  <si>
    <t xml:space="preserve">Encaminhamento informado</t>
  </si>
  <si>
    <t xml:space="preserve">Observações adicionais</t>
  </si>
  <si>
    <t xml:space="preserve">F13 · Registro de ocorrência na coleta ou movimentação</t>
  </si>
  <si>
    <t xml:space="preserve">FORMULÁRIO 14 · CATEGORIA: ACOMPANHAMENTO OPERACIONAL</t>
  </si>
  <si>
    <t xml:space="preserve">Finalidade de uso: Detalhar e acompanhar uma pendência documental específica.</t>
  </si>
  <si>
    <t xml:space="preserve">ⓘ  Use uma ficha para cada pendência que exige acompanhamento próximo. O controle geral continua na planilha ou no sistema que você já utiliza.</t>
  </si>
  <si>
    <t xml:space="preserve">Pendência</t>
  </si>
  <si>
    <t xml:space="preserve">Documento relacionado</t>
  </si>
  <si>
    <t xml:space="preserve">Pendência identificada</t>
  </si>
  <si>
    <t xml:space="preserve">Data de identificação</t>
  </si>
  <si>
    <t xml:space="preserve">Providência solicitada</t>
  </si>
  <si>
    <t xml:space="preserve">Empresa ou setor contatado</t>
  </si>
  <si>
    <t xml:space="preserve">Contato</t>
  </si>
  <si>
    <t xml:space="preserve">Histórico de acompanhamento</t>
  </si>
  <si>
    <t xml:space="preserve">Informações recebidas ou contato realizado</t>
  </si>
  <si>
    <t xml:space="preserve">Próxima verificação</t>
  </si>
  <si>
    <t xml:space="preserve">Situação e encerramento</t>
  </si>
  <si>
    <t xml:space="preserve">Situação atual  (escolha na lista)</t>
  </si>
  <si>
    <t xml:space="preserve">Evidência ou referência do encerramento</t>
  </si>
  <si>
    <t xml:space="preserve">Data do encerramento</t>
  </si>
  <si>
    <t xml:space="preserve">F14 · Registro de pendência documental</t>
  </si>
  <si>
    <t xml:space="preserve">FORMULÁRIO 15 · CATEGORIA: ACOMPANHAMENTO OPERACIONAL</t>
  </si>
  <si>
    <t xml:space="preserve">Encerramento do acompanhamento interno</t>
  </si>
  <si>
    <t xml:space="preserve">Finalidade de uso: Registrar o encerramento administrativo de um acompanhamento interno.</t>
  </si>
  <si>
    <t xml:space="preserve">ⓘ  Preencha quando o acompanhamento de uma movimentação for concluído internamente. Este registro não é certificado de destinação nem declaração de conformidade.</t>
  </si>
  <si>
    <t xml:space="preserve">Referências documentais disponíveis</t>
  </si>
  <si>
    <t xml:space="preserve">Documento</t>
  </si>
  <si>
    <t xml:space="preserve">Consultado</t>
  </si>
  <si>
    <t xml:space="preserve">MTR, quando aplicável</t>
  </si>
  <si>
    <t xml:space="preserve">Comprovante de recebimento</t>
  </si>
  <si>
    <t xml:space="preserve">CDF ou comprovante de destinação</t>
  </si>
  <si>
    <t xml:space="preserve">Histórico do acompanhamento</t>
  </si>
  <si>
    <t xml:space="preserve">Situação inicialmente acompanhada</t>
  </si>
  <si>
    <t xml:space="preserve">Providências realizadas</t>
  </si>
  <si>
    <t xml:space="preserve">Evidências documentais consultadas</t>
  </si>
  <si>
    <t xml:space="preserve">Pendências remanescentes  (escolha na lista)</t>
  </si>
  <si>
    <t xml:space="preserve">Descrição das pendências remanescentes</t>
  </si>
  <si>
    <t xml:space="preserve">Observações de encerramento</t>
  </si>
  <si>
    <t xml:space="preserve">F15 · Registro de encerramento do acompanhamento</t>
  </si>
  <si>
    <t xml:space="preserve">Orientações finais de utilização</t>
  </si>
  <si>
    <t xml:space="preserve">Confira os dados antes do uso</t>
  </si>
  <si>
    <t xml:space="preserve">Compare as informações registradas com os documentos e com os responsáveis por cada etapa antes de lançar dados em qualquer sistema.</t>
  </si>
  <si>
    <t xml:space="preserve">Adapte os campos à sua empresa</t>
  </si>
  <si>
    <t xml:space="preserve">Use os campos de observação e as linhas adicionais para incluir o que for próprio dos seus procedimentos internos.</t>
  </si>
  <si>
    <t xml:space="preserve">Guarde cópias de forma organizada</t>
  </si>
  <si>
    <t xml:space="preserve">Salve as cópias com nomes claros, por exemplo F08_2026-10_Unidade-A, conforme a organização interna.</t>
  </si>
  <si>
    <t xml:space="preserve">Consulte os procedimentos oficiais</t>
  </si>
  <si>
    <t xml:space="preserve">Quando houver dúvida sobre documentos exigidos, prazos ou classificação, siga os procedimentos oficiais e o sistema aplicável.</t>
  </si>
  <si>
    <t xml:space="preserve">Em que momento usar cada formulário</t>
  </si>
  <si>
    <t xml:space="preserve">Antes da coleta</t>
  </si>
  <si>
    <t xml:space="preserve">Preparação da saída</t>
  </si>
  <si>
    <t xml:space="preserve">Depois da saída</t>
  </si>
  <si>
    <t xml:space="preserve">O Kit Pré-MTR foi pensado para ser usado junto com os 70 Fluxos Visuais de MTR, CDF e Controle de Resíduos. Os fluxos ajudam a entender cada etapa, a planilha de controle acompanha os registros de MTR e CDF, e estes formulários organizam as informações de cada coleta e de cada situação específica.</t>
  </si>
  <si>
    <t xml:space="preserve">dl-unidades</t>
  </si>
  <si>
    <t xml:space="preserve">Situação da solicitação</t>
  </si>
  <si>
    <t xml:space="preserve">Estado físico, quando pertinente</t>
  </si>
  <si>
    <t xml:space="preserve">dl-origem</t>
  </si>
  <si>
    <t xml:space="preserve">situação</t>
  </si>
  <si>
    <t xml:space="preserve">Forma de comunicação</t>
  </si>
  <si>
    <t xml:space="preserve">Situação do agendamento</t>
  </si>
  <si>
    <t xml:space="preserve">dl-destinacao</t>
  </si>
  <si>
    <t xml:space="preserve">Dados</t>
  </si>
  <si>
    <t xml:space="preserve">marcação</t>
  </si>
  <si>
    <t xml:space="preserve">Situação da ficha</t>
  </si>
  <si>
    <t xml:space="preserve">Resultado</t>
  </si>
  <si>
    <t xml:space="preserve">Fonte da confirmação</t>
  </si>
  <si>
    <t xml:space="preserve">Situação do acompanhamento</t>
  </si>
  <si>
    <t xml:space="preserve">Situação atual</t>
  </si>
  <si>
    <t xml:space="preserve">Pendências remanescentes</t>
  </si>
  <si>
    <t xml:space="preserve">kg</t>
  </si>
  <si>
    <t xml:space="preserve">Registrada</t>
  </si>
  <si>
    <t xml:space="preserve">Sólido</t>
  </si>
  <si>
    <t xml:space="preserve">Informada</t>
  </si>
  <si>
    <t xml:space="preserve">Estimativa</t>
  </si>
  <si>
    <t xml:space="preserve">Verificado</t>
  </si>
  <si>
    <t xml:space="preserve">E-mail</t>
  </si>
  <si>
    <t xml:space="preserve">A confirmar</t>
  </si>
  <si>
    <t xml:space="preserve">Reciclagem</t>
  </si>
  <si>
    <t xml:space="preserve">Conferidos</t>
  </si>
  <si>
    <t xml:space="preserve">Pronta para lançamento no sistema</t>
  </si>
  <si>
    <t xml:space="preserve">Sem pendências registradas</t>
  </si>
  <si>
    <t xml:space="preserve">Nenhuma identificada</t>
  </si>
  <si>
    <t xml:space="preserve">Sistema de MTR</t>
  </si>
  <si>
    <t xml:space="preserve">Aberta</t>
  </si>
  <si>
    <t xml:space="preserve">t</t>
  </si>
  <si>
    <t xml:space="preserve">Em análise</t>
  </si>
  <si>
    <t xml:space="preserve">Pastoso</t>
  </si>
  <si>
    <t xml:space="preserve">Verificada em documento</t>
  </si>
  <si>
    <t xml:space="preserve">Pesagem</t>
  </si>
  <si>
    <t xml:space="preserve">Necessita conferência</t>
  </si>
  <si>
    <t xml:space="preserve">Mensagem</t>
  </si>
  <si>
    <t xml:space="preserve">Confirmado</t>
  </si>
  <si>
    <t xml:space="preserve">Pendente</t>
  </si>
  <si>
    <t xml:space="preserve">Recuperação ou reaproveitamento</t>
  </si>
  <si>
    <t xml:space="preserve">A conferir</t>
  </si>
  <si>
    <t xml:space="preserve">Com pendências</t>
  </si>
  <si>
    <t xml:space="preserve">Com pendências registradas</t>
  </si>
  <si>
    <t xml:space="preserve">Identificadas e descritas abaixo</t>
  </si>
  <si>
    <t xml:space="preserve">E-mail do destinador</t>
  </si>
  <si>
    <t xml:space="preserve">Aguardando retorno</t>
  </si>
  <si>
    <t xml:space="preserve">Em acompanhamento</t>
  </si>
  <si>
    <t xml:space="preserve">Há pendências, descritas abaixo</t>
  </si>
  <si>
    <t xml:space="preserve">L</t>
  </si>
  <si>
    <t xml:space="preserve">Confirmada</t>
  </si>
  <si>
    <t xml:space="preserve">Líquido</t>
  </si>
  <si>
    <t xml:space="preserve">Contagem de volumes</t>
  </si>
  <si>
    <t xml:space="preserve">Não aplicável</t>
  </si>
  <si>
    <t xml:space="preserve">Telefone</t>
  </si>
  <si>
    <t xml:space="preserve">Reprogramado</t>
  </si>
  <si>
    <t xml:space="preserve">Tratamento</t>
  </si>
  <si>
    <t xml:space="preserve">Comprovante ou ticket</t>
  </si>
  <si>
    <t xml:space="preserve">Encerrada</t>
  </si>
  <si>
    <t xml:space="preserve">m³</t>
  </si>
  <si>
    <t xml:space="preserve">Reprogramada</t>
  </si>
  <si>
    <t xml:space="preserve">Outro</t>
  </si>
  <si>
    <t xml:space="preserve">Informação do setor</t>
  </si>
  <si>
    <t xml:space="preserve">Reunião</t>
  </si>
  <si>
    <t xml:space="preserve">Realizado</t>
  </si>
  <si>
    <t xml:space="preserve">Coprocessamento</t>
  </si>
  <si>
    <t xml:space="preserve">Contato telefônico</t>
  </si>
  <si>
    <t xml:space="preserve">Esclarecida</t>
  </si>
  <si>
    <t xml:space="preserve">unidade(s)</t>
  </si>
  <si>
    <t xml:space="preserve">Cancelada</t>
  </si>
  <si>
    <t xml:space="preserve">Não informado</t>
  </si>
  <si>
    <t xml:space="preserve">Documento ou registro</t>
  </si>
  <si>
    <t xml:space="preserve">Cancelado</t>
  </si>
  <si>
    <t xml:space="preserve">Disposição final</t>
  </si>
  <si>
    <t xml:space="preserve">tambor(es)</t>
  </si>
  <si>
    <t xml:space="preserve">Armazenamento temporário</t>
  </si>
  <si>
    <t xml:space="preserve">bombona(s)</t>
  </si>
  <si>
    <t xml:space="preserve">A definir</t>
  </si>
  <si>
    <t xml:space="preserve">contêiner(es)</t>
  </si>
  <si>
    <t xml:space="preserve">big bag(s)</t>
  </si>
  <si>
    <t xml:space="preserve">caçamba(s)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</si>
</sst>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###"/>
    <numFmt numFmtId="167" formatCode="hh:mm"/>
    <numFmt numFmtId="168" formatCode="\+#,##0.###;\-#,##0.###;0"/>
    <numFmt numFmtId="169" formatCode="\+0.0%;\-0.0%;0.0%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8"/>
      <color rgb="FFBFDCD4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b val="true"/>
      <sz val="14"/>
      <color rgb="FFE6B566"/>
      <name val="Arial"/>
      <family val="0"/>
      <charset val="1"/>
    </font>
    <font>
      <sz val="10"/>
      <color rgb="FFD6E8E3"/>
      <name val="Arial"/>
      <family val="0"/>
      <charset val="1"/>
    </font>
    <font>
      <sz val="9"/>
      <color rgb="FF5B4220"/>
      <name val="Arial"/>
      <family val="0"/>
      <charset val="1"/>
    </font>
    <font>
      <b val="true"/>
      <sz val="9"/>
      <color rgb="FF17806C"/>
      <name val="Arial"/>
      <family val="0"/>
      <charset val="1"/>
    </font>
    <font>
      <b val="true"/>
      <sz val="11"/>
      <color rgb="FFE6B566"/>
      <name val="Arial"/>
      <family val="0"/>
      <charset val="1"/>
    </font>
    <font>
      <b val="true"/>
      <sz val="10"/>
      <color rgb="FF103C39"/>
      <name val="Arial"/>
      <family val="0"/>
      <charset val="1"/>
    </font>
    <font>
      <sz val="9"/>
      <color rgb="FF334155"/>
      <name val="Arial"/>
      <family val="0"/>
      <charset val="1"/>
    </font>
    <font>
      <b val="true"/>
      <sz val="11"/>
      <color rgb="FF17806C"/>
      <name val="Arial"/>
      <family val="0"/>
      <charset val="1"/>
    </font>
    <font>
      <i val="true"/>
      <sz val="9"/>
      <color rgb="FF334155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1E293B"/>
      <name val="Arial"/>
      <family val="0"/>
      <charset val="1"/>
    </font>
    <font>
      <sz val="8"/>
      <color rgb="FF475569"/>
      <name val="Arial"/>
      <family val="0"/>
      <charset val="1"/>
    </font>
    <font>
      <sz val="9"/>
      <color rgb="FF1E293B"/>
      <name val="Arial"/>
      <family val="0"/>
      <charset val="1"/>
    </font>
    <font>
      <sz val="8.5"/>
      <color rgb="FF334155"/>
      <name val="Arial"/>
      <family val="0"/>
      <charset val="1"/>
    </font>
    <font>
      <b val="true"/>
      <sz val="9"/>
      <color rgb="FF1E6E8C"/>
      <name val="Arial"/>
      <family val="0"/>
      <charset val="1"/>
    </font>
    <font>
      <b val="true"/>
      <sz val="9"/>
      <color rgb="FF9A6B22"/>
      <name val="Arial"/>
      <family val="0"/>
      <charset val="1"/>
    </font>
    <font>
      <i val="true"/>
      <sz val="7.5"/>
      <color rgb="FF64748B"/>
      <name val="Arial"/>
      <family val="0"/>
      <charset val="1"/>
    </font>
    <font>
      <b val="true"/>
      <sz val="8"/>
      <color rgb="FF17806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"/>
      <color rgb="FF64748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03C39"/>
      <name val="Arial"/>
      <family val="0"/>
      <charset val="1"/>
    </font>
    <font>
      <b val="true"/>
      <sz val="7.5"/>
      <color rgb="FF475569"/>
      <name val="Arial"/>
      <family val="0"/>
      <charset val="1"/>
    </font>
    <font>
      <b val="true"/>
      <sz val="7.5"/>
      <color rgb="FF103C39"/>
      <name val="Arial"/>
      <family val="0"/>
      <charset val="1"/>
    </font>
    <font>
      <b val="true"/>
      <sz val="8"/>
      <color rgb="FF64748B"/>
      <name val="Arial"/>
      <family val="0"/>
      <charset val="1"/>
    </font>
    <font>
      <sz val="7.5"/>
      <color rgb="FF64748B"/>
      <name val="Arial"/>
      <family val="0"/>
      <charset val="1"/>
    </font>
    <font>
      <b val="true"/>
      <sz val="11"/>
      <color rgb="FF1E6E8C"/>
      <name val="Arial"/>
      <family val="0"/>
      <charset val="1"/>
    </font>
    <font>
      <b val="true"/>
      <sz val="8.5"/>
      <color rgb="FF7A4A0B"/>
      <name val="Arial"/>
      <family val="0"/>
      <charset val="1"/>
    </font>
    <font>
      <b val="true"/>
      <sz val="8"/>
      <color rgb="FF1E6E8C"/>
      <name val="Arial"/>
      <family val="0"/>
      <charset val="1"/>
    </font>
    <font>
      <b val="true"/>
      <sz val="11"/>
      <color rgb="FF9A6B22"/>
      <name val="Arial"/>
      <family val="0"/>
      <charset val="1"/>
    </font>
    <font>
      <b val="true"/>
      <sz val="8"/>
      <color rgb="FF9A6B22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9"/>
      <color rgb="FF9A6212"/>
      <name val="Arial"/>
      <family val="0"/>
      <charset val="1"/>
    </font>
    <font>
      <b val="true"/>
      <sz val="18"/>
      <color rgb="FF103C3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03C39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03C39"/>
        <bgColor rgb="FF1E293B"/>
      </patternFill>
    </fill>
    <fill>
      <patternFill patternType="solid">
        <fgColor rgb="FFFFF8EA"/>
        <bgColor rgb="FFFFF6E4"/>
      </patternFill>
    </fill>
    <fill>
      <patternFill patternType="solid">
        <fgColor rgb="FFFBFDF6"/>
        <bgColor rgb="FFFFFFFF"/>
      </patternFill>
    </fill>
    <fill>
      <patternFill patternType="solid">
        <fgColor rgb="FFE8F4EF"/>
        <bgColor rgb="FFE6F1F6"/>
      </patternFill>
    </fill>
    <fill>
      <patternFill patternType="solid">
        <fgColor rgb="FF17806C"/>
        <bgColor rgb="FF1E6E8C"/>
      </patternFill>
    </fill>
    <fill>
      <patternFill patternType="solid">
        <fgColor rgb="FFE6F1F6"/>
        <bgColor rgb="FFE8F4EF"/>
      </patternFill>
    </fill>
    <fill>
      <patternFill patternType="solid">
        <fgColor rgb="FF1E6E8C"/>
        <bgColor rgb="FF17806C"/>
      </patternFill>
    </fill>
    <fill>
      <patternFill patternType="solid">
        <fgColor rgb="FFF8F0E2"/>
        <bgColor rgb="FFFFF6E4"/>
      </patternFill>
    </fill>
    <fill>
      <patternFill patternType="solid">
        <fgColor rgb="FF9A6B22"/>
        <bgColor rgb="FF9A6212"/>
      </patternFill>
    </fill>
    <fill>
      <patternFill patternType="solid">
        <fgColor rgb="FFFFFFFF"/>
        <bgColor rgb="FFFBFDF6"/>
      </patternFill>
    </fill>
    <fill>
      <patternFill patternType="solid">
        <fgColor rgb="FFFFF6E4"/>
        <bgColor rgb="FFFFF8EA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F0DDB8"/>
      </left>
      <right style="thin">
        <color rgb="FFF0DDB8"/>
      </right>
      <top style="thin">
        <color rgb="FFF0DDB8"/>
      </top>
      <bottom style="thin">
        <color rgb="FFF0DDB8"/>
      </bottom>
      <diagonal/>
    </border>
    <border diagonalUp="false" diagonalDown="false">
      <left style="thin">
        <color rgb="FF9DB5AE"/>
      </left>
      <right style="thin">
        <color rgb="FF9DB5AE"/>
      </right>
      <top style="thin">
        <color rgb="FF9DB5AE"/>
      </top>
      <bottom style="thin">
        <color rgb="FF9DB5AE"/>
      </bottom>
      <diagonal/>
    </border>
    <border diagonalUp="false" diagonalDown="false">
      <left/>
      <right/>
      <top/>
      <bottom style="thin">
        <color rgb="FFD5E2DD"/>
      </bottom>
      <diagonal/>
    </border>
    <border diagonalUp="false" diagonalDown="false">
      <left/>
      <right/>
      <top/>
      <bottom style="medium">
        <color rgb="FFE8F4EF"/>
      </bottom>
      <diagonal/>
    </border>
    <border diagonalUp="false" diagonalDown="false">
      <left/>
      <right/>
      <top style="thin">
        <color rgb="FFD5E2DD"/>
      </top>
      <bottom/>
      <diagonal/>
    </border>
    <border diagonalUp="false" diagonalDown="false">
      <left/>
      <right/>
      <top/>
      <bottom style="medium">
        <color rgb="FFE6F1F6"/>
      </bottom>
      <diagonal/>
    </border>
    <border diagonalUp="false" diagonalDown="false">
      <left style="thin">
        <color rgb="FFF0D9AE"/>
      </left>
      <right style="thin">
        <color rgb="FFF0D9AE"/>
      </right>
      <top style="thin">
        <color rgb="FFF0D9AE"/>
      </top>
      <bottom style="thin">
        <color rgb="FFF0D9AE"/>
      </bottom>
      <diagonal/>
    </border>
    <border diagonalUp="false" diagonalDown="false">
      <left/>
      <right/>
      <top/>
      <bottom style="medium">
        <color rgb="FFF8F0E2"/>
      </bottom>
      <diagonal/>
    </border>
    <border diagonalUp="false" diagonalDown="false">
      <left style="thin">
        <color rgb="FF9A6B22"/>
      </left>
      <right style="thin">
        <color rgb="FF9A6B22"/>
      </right>
      <top style="thin">
        <color rgb="FF9A6B22"/>
      </top>
      <bottom style="thin">
        <color rgb="FF9A6B2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7" fillId="11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11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2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8" fillId="8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6" fillId="11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3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0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2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1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8" fillId="1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9" fillId="11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39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0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8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1" fillId="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1" fillId="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EA"/>
      <rgbColor rgb="FFFF00FF"/>
      <rgbColor rgb="FF00FFFF"/>
      <rgbColor rgb="FF800000"/>
      <rgbColor rgb="FF008000"/>
      <rgbColor rgb="FF000080"/>
      <rgbColor rgb="FF9A6B22"/>
      <rgbColor rgb="FF800080"/>
      <rgbColor rgb="FF17806C"/>
      <rgbColor rgb="FF9DB5AE"/>
      <rgbColor rgb="FF9A6212"/>
      <rgbColor rgb="FF9999FF"/>
      <rgbColor rgb="FF475569"/>
      <rgbColor rgb="FFFFF6E4"/>
      <rgbColor rgb="FFE6F1F6"/>
      <rgbColor rgb="FF660066"/>
      <rgbColor rgb="FFFF8080"/>
      <rgbColor rgb="FF0066CC"/>
      <rgbColor rgb="FFBFDCD4"/>
      <rgbColor rgb="FF000080"/>
      <rgbColor rgb="FFFF00FF"/>
      <rgbColor rgb="FFFFFF00"/>
      <rgbColor rgb="FF00FFFF"/>
      <rgbColor rgb="FF800080"/>
      <rgbColor rgb="FF800000"/>
      <rgbColor rgb="FF1E6E8C"/>
      <rgbColor rgb="FF0000FF"/>
      <rgbColor rgb="FF00CCFF"/>
      <rgbColor rgb="FFE8F4EF"/>
      <rgbColor rgb="FFD6E8E3"/>
      <rgbColor rgb="FFF8F0E2"/>
      <rgbColor rgb="FFD5E2DD"/>
      <rgbColor rgb="FFF0DDB8"/>
      <rgbColor rgb="FFFBFDF6"/>
      <rgbColor rgb="FFF0D9AE"/>
      <rgbColor rgb="FF3366FF"/>
      <rgbColor rgb="FF33CCCC"/>
      <rgbColor rgb="FF99CC00"/>
      <rgbColor rgb="FFE6B566"/>
      <rgbColor rgb="FFFF9900"/>
      <rgbColor rgb="FFFF6600"/>
      <rgbColor rgb="FF64748B"/>
      <rgbColor rgb="FF969696"/>
      <rgbColor rgb="FF103C39"/>
      <rgbColor rgb="FF339966"/>
      <rgbColor rgb="FF003300"/>
      <rgbColor rgb="FF5B4220"/>
      <rgbColor rgb="FF7A4A0B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<Relationship Id="rId2" Type="http://schemas.openxmlformats.org/officeDocument/2006/relationships/hyperlink" Target="Kit_Pre_MTR_15_Formularios.xlsx" TargetMode="External"/><Relationship Id="rId3" Type="http://schemas.openxmlformats.org/officeDocument/2006/relationships/hyperlink" Target="Kit_Pre_MTR_15_Formularios.xlsx" TargetMode="External"/><Relationship Id="rId4" Type="http://schemas.openxmlformats.org/officeDocument/2006/relationships/hyperlink" Target="Kit_Pre_MTR_15_Formularios.xlsx" TargetMode="External"/><Relationship Id="rId5" Type="http://schemas.openxmlformats.org/officeDocument/2006/relationships/hyperlink" Target="Kit_Pre_MTR_15_Formularios.xlsx" TargetMode="External"/><Relationship Id="rId6" Type="http://schemas.openxmlformats.org/officeDocument/2006/relationships/hyperlink" Target="Kit_Pre_MTR_15_Formularios.xlsx" TargetMode="External"/><Relationship Id="rId7" Type="http://schemas.openxmlformats.org/officeDocument/2006/relationships/hyperlink" Target="Kit_Pre_MTR_15_Formularios.xlsx" TargetMode="External"/><Relationship Id="rId8" Type="http://schemas.openxmlformats.org/officeDocument/2006/relationships/hyperlink" Target="Kit_Pre_MTR_15_Formularios.xlsx" TargetMode="External"/><Relationship Id="rId9" Type="http://schemas.openxmlformats.org/officeDocument/2006/relationships/hyperlink" Target="Kit_Pre_MTR_15_Formularios.xlsx" TargetMode="External"/><Relationship Id="rId10" Type="http://schemas.openxmlformats.org/officeDocument/2006/relationships/hyperlink" Target="Kit_Pre_MTR_15_Formularios.xlsx" TargetMode="External"/><Relationship Id="rId11" Type="http://schemas.openxmlformats.org/officeDocument/2006/relationships/hyperlink" Target="Kit_Pre_MTR_15_Formularios.xlsx" TargetMode="External"/><Relationship Id="rId12" Type="http://schemas.openxmlformats.org/officeDocument/2006/relationships/hyperlink" Target="Kit_Pre_MTR_15_Formularios.xlsx" TargetMode="External"/><Relationship Id="rId13" Type="http://schemas.openxmlformats.org/officeDocument/2006/relationships/hyperlink" Target="Kit_Pre_MTR_15_Formularios.xlsx" TargetMode="External"/><Relationship Id="rId14" Type="http://schemas.openxmlformats.org/officeDocument/2006/relationships/hyperlink" Target="Kit_Pre_MTR_15_Formularios.xlsx" TargetMode="External"/><Relationship Id="rId15" Type="http://schemas.openxmlformats.org/officeDocument/2006/relationships/hyperlink" Target="Kit_Pre_MTR_15_Formularios.xlsx" TargetMode="External"/><Relationship Id="rId16" Type="http://schemas.openxmlformats.org/officeDocument/2006/relationships/hyperlink" Target="Kit_Pre_MTR_15_Formulario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Kit_Pre_MTR_15_Formularios.xlsx" TargetMode="External"/><Relationship Id="rId2" Type="http://schemas.openxmlformats.org/officeDocument/2006/relationships/hyperlink" Target="Kit_Pre_MTR_15_Formularios.xlsx" TargetMode="External"/><Relationship Id="rId3" Type="http://schemas.openxmlformats.org/officeDocument/2006/relationships/hyperlink" Target="Kit_Pre_MTR_15_Formularios.xlsx" TargetMode="External"/><Relationship Id="rId4" Type="http://schemas.openxmlformats.org/officeDocument/2006/relationships/hyperlink" Target="Kit_Pre_MTR_15_Formularios.xlsx" TargetMode="External"/><Relationship Id="rId5" Type="http://schemas.openxmlformats.org/officeDocument/2006/relationships/hyperlink" Target="Kit_Pre_MTR_15_Formularios.xlsx" TargetMode="External"/><Relationship Id="rId6" Type="http://schemas.openxmlformats.org/officeDocument/2006/relationships/hyperlink" Target="Kit_Pre_MTR_15_Formularios.xlsx" TargetMode="External"/><Relationship Id="rId7" Type="http://schemas.openxmlformats.org/officeDocument/2006/relationships/hyperlink" Target="Kit_Pre_MTR_15_Formularios.xlsx" TargetMode="External"/><Relationship Id="rId8" Type="http://schemas.openxmlformats.org/officeDocument/2006/relationships/hyperlink" Target="Kit_Pre_MTR_15_Formularios.xlsx" TargetMode="External"/><Relationship Id="rId9" Type="http://schemas.openxmlformats.org/officeDocument/2006/relationships/hyperlink" Target="Kit_Pre_MTR_15_Formularios.xlsx" TargetMode="External"/><Relationship Id="rId10" Type="http://schemas.openxmlformats.org/officeDocument/2006/relationships/hyperlink" Target="Kit_Pre_MTR_15_Formularios.xlsx" TargetMode="External"/><Relationship Id="rId11" Type="http://schemas.openxmlformats.org/officeDocument/2006/relationships/hyperlink" Target="Kit_Pre_MTR_15_Formularios.xlsx" TargetMode="External"/><Relationship Id="rId12" Type="http://schemas.openxmlformats.org/officeDocument/2006/relationships/hyperlink" Target="Kit_Pre_MTR_15_Formularios.xlsx" TargetMode="External"/><Relationship Id="rId13" Type="http://schemas.openxmlformats.org/officeDocument/2006/relationships/hyperlink" Target="Kit_Pre_MTR_15_Formularios.xlsx" TargetMode="External"/><Relationship Id="rId14" Type="http://schemas.openxmlformats.org/officeDocument/2006/relationships/hyperlink" Target="Kit_Pre_MTR_15_Formularios.xlsx" TargetMode="External"/><Relationship Id="rId15" Type="http://schemas.openxmlformats.org/officeDocument/2006/relationships/hyperlink" Target="Kit_Pre_MTR_15_Formularios.xlsx" TargetMode="External"/><Relationship Id="rId16" Type="http://schemas.openxmlformats.org/officeDocument/2006/relationships/hyperlink" Target="Kit_Pre_MTR_15_Formulario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C39"/>
    <pageSetUpPr fitToPage="true"/>
  </sheetPr>
  <dimension ref="A1:G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.6"/>
  </cols>
  <sheetData>
    <row r="1" customFormat="false" ht="9.75" hidden="false" customHeight="true" outlineLevel="0" collapsed="false">
      <c r="A1" s="1"/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1"/>
      <c r="B2" s="3" t="s">
        <v>0</v>
      </c>
      <c r="C2" s="3"/>
      <c r="D2" s="3"/>
      <c r="E2" s="3"/>
      <c r="F2" s="3"/>
      <c r="G2" s="3"/>
    </row>
    <row r="3" customFormat="false" ht="39.75" hidden="false" customHeight="true" outlineLevel="0" collapsed="false">
      <c r="A3" s="1"/>
      <c r="B3" s="4" t="s">
        <v>1</v>
      </c>
      <c r="C3" s="4"/>
      <c r="D3" s="4"/>
      <c r="E3" s="4"/>
      <c r="F3" s="4"/>
      <c r="G3" s="4"/>
    </row>
    <row r="4" customFormat="false" ht="21.75" hidden="false" customHeight="true" outlineLevel="0" collapsed="false">
      <c r="A4" s="1"/>
      <c r="B4" s="5" t="s">
        <v>2</v>
      </c>
      <c r="C4" s="5"/>
      <c r="D4" s="5"/>
      <c r="E4" s="5"/>
      <c r="F4" s="5"/>
      <c r="G4" s="5"/>
    </row>
    <row r="5" customFormat="false" ht="25.5" hidden="false" customHeight="true" outlineLevel="0" collapsed="false">
      <c r="A5" s="1"/>
      <c r="B5" s="6" t="s">
        <v>3</v>
      </c>
      <c r="C5" s="6"/>
      <c r="D5" s="6"/>
      <c r="E5" s="6"/>
      <c r="F5" s="6"/>
      <c r="G5" s="6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30" hidden="false" customHeight="true" outlineLevel="0" collapsed="false">
      <c r="A7" s="1"/>
      <c r="B7" s="7" t="s">
        <v>4</v>
      </c>
      <c r="C7" s="7"/>
      <c r="D7" s="7"/>
      <c r="E7" s="7"/>
      <c r="F7" s="7"/>
      <c r="G7" s="7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5" hidden="false" customHeight="false" outlineLevel="0" collapsed="false">
      <c r="A9" s="1"/>
      <c r="B9" s="8" t="s">
        <v>5</v>
      </c>
      <c r="C9" s="8"/>
      <c r="D9" s="8"/>
      <c r="E9" s="8"/>
      <c r="F9" s="8"/>
      <c r="G9" s="8"/>
    </row>
    <row r="10" customFormat="false" ht="19.5" hidden="false" customHeight="true" outlineLevel="0" collapsed="false">
      <c r="A10" s="1"/>
      <c r="B10" s="9" t="s">
        <v>6</v>
      </c>
      <c r="C10" s="10" t="s">
        <v>7</v>
      </c>
      <c r="D10" s="11" t="s">
        <v>8</v>
      </c>
      <c r="E10" s="11"/>
      <c r="F10" s="11"/>
      <c r="G10" s="11"/>
    </row>
    <row r="11" customFormat="false" ht="19.5" hidden="false" customHeight="true" outlineLevel="0" collapsed="false">
      <c r="A11" s="1"/>
      <c r="B11" s="9" t="s">
        <v>9</v>
      </c>
      <c r="C11" s="10" t="s">
        <v>10</v>
      </c>
      <c r="D11" s="11" t="s">
        <v>11</v>
      </c>
      <c r="E11" s="11"/>
      <c r="F11" s="11"/>
      <c r="G11" s="11"/>
    </row>
    <row r="12" customFormat="false" ht="19.5" hidden="false" customHeight="true" outlineLevel="0" collapsed="false">
      <c r="A12" s="1"/>
      <c r="B12" s="9" t="s">
        <v>12</v>
      </c>
      <c r="C12" s="10" t="s">
        <v>13</v>
      </c>
      <c r="D12" s="11" t="s">
        <v>14</v>
      </c>
      <c r="E12" s="11"/>
      <c r="F12" s="11"/>
      <c r="G12" s="11"/>
    </row>
    <row r="13" customFormat="false" ht="19.5" hidden="false" customHeight="true" outlineLevel="0" collapsed="false">
      <c r="A13" s="1"/>
      <c r="B13" s="9" t="s">
        <v>15</v>
      </c>
      <c r="C13" s="10" t="s">
        <v>16</v>
      </c>
      <c r="D13" s="11" t="s">
        <v>17</v>
      </c>
      <c r="E13" s="11"/>
      <c r="F13" s="11"/>
      <c r="G13" s="1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5" hidden="false" customHeight="false" outlineLevel="0" collapsed="false">
      <c r="A15" s="1"/>
      <c r="B15" s="8" t="s">
        <v>18</v>
      </c>
      <c r="C15" s="8"/>
      <c r="D15" s="8"/>
      <c r="E15" s="8"/>
      <c r="F15" s="8"/>
      <c r="G15" s="8"/>
    </row>
    <row r="16" customFormat="false" ht="19.5" hidden="false" customHeight="true" outlineLevel="0" collapsed="false">
      <c r="A16" s="1"/>
      <c r="B16" s="12"/>
      <c r="C16" s="13" t="s">
        <v>19</v>
      </c>
      <c r="D16" s="13"/>
      <c r="E16" s="13"/>
      <c r="F16" s="13"/>
      <c r="G16" s="13"/>
    </row>
    <row r="17" customFormat="false" ht="19.5" hidden="false" customHeight="true" outlineLevel="0" collapsed="false">
      <c r="A17" s="1"/>
      <c r="B17" s="14" t="s">
        <v>20</v>
      </c>
      <c r="C17" s="15" t="s">
        <v>21</v>
      </c>
      <c r="D17" s="15"/>
      <c r="E17" s="15"/>
      <c r="F17" s="15"/>
      <c r="G17" s="15"/>
    </row>
    <row r="18" customFormat="false" ht="19.5" hidden="false" customHeight="true" outlineLevel="0" collapsed="false">
      <c r="A18" s="1"/>
      <c r="B18" s="16" t="s">
        <v>22</v>
      </c>
      <c r="C18" s="16"/>
      <c r="D18" s="16"/>
      <c r="E18" s="16"/>
      <c r="F18" s="16"/>
      <c r="G18" s="16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8" t="s">
        <v>23</v>
      </c>
      <c r="C20" s="8"/>
      <c r="D20" s="8"/>
      <c r="E20" s="8"/>
      <c r="F20" s="8"/>
      <c r="G20" s="8"/>
    </row>
    <row r="21" customFormat="false" ht="19.5" hidden="false" customHeight="true" outlineLevel="0" collapsed="false">
      <c r="A21" s="1"/>
      <c r="B21" s="17" t="s">
        <v>24</v>
      </c>
      <c r="C21" s="18" t="s">
        <v>25</v>
      </c>
      <c r="D21" s="18" t="s">
        <v>26</v>
      </c>
      <c r="E21" s="18" t="s">
        <v>27</v>
      </c>
      <c r="F21" s="17" t="s">
        <v>28</v>
      </c>
      <c r="G21" s="17" t="s">
        <v>29</v>
      </c>
    </row>
    <row r="22" customFormat="false" ht="19.5" hidden="false" customHeight="true" outlineLevel="0" collapsed="false">
      <c r="A22" s="1"/>
      <c r="B22" s="19" t="s">
        <v>30</v>
      </c>
      <c r="C22" s="19"/>
      <c r="D22" s="19"/>
      <c r="E22" s="19"/>
      <c r="F22" s="19"/>
      <c r="G22" s="19"/>
    </row>
    <row r="23" customFormat="false" ht="30" hidden="false" customHeight="true" outlineLevel="0" collapsed="false">
      <c r="A23" s="1"/>
      <c r="B23" s="20" t="s">
        <v>31</v>
      </c>
      <c r="C23" s="21" t="s">
        <v>32</v>
      </c>
      <c r="D23" s="22" t="s">
        <v>33</v>
      </c>
      <c r="E23" s="23" t="str">
        <f aca="false">IF(F01!L3="","",F01!L3)</f>
        <v/>
      </c>
      <c r="F23" s="24" t="str">
        <f aca="false">IF(COUNTA(F01!L3:M3,F01!B10:G10,F01!H10:M10,F01!B12:F12,F01!G12:J12,F01!K12:M12,F01!C16:C16,F01!G16:G16,F01!I16:I16,F01!K16:K16,F01!C17:C17,F01!G17:G17,F01!I17:I17,F01!K17:K17,F01!C18:C18,F01!G18:G18,F01!I18:I18,F01!K18:K18,F01!C19:C19,F01!G19:G19,F01!I19:I19,F01!K19:K19,F01!C20:C20,F01!G20:G20,F01!I20:I20,F01!K20:K20,F01!B25:J25,F01!K25:M25,F01!B27:M27,F01!B31:M31,F01!B33:G33,F01!H33:J33,F01!K33:M33,F01!B35:M35,F01!B39:J39,F01!K39:M39)=0,"Em branco",COUNTA(F01!L3:M3,F01!B10:G10,F01!H10:M10,F01!B12:F12,F01!G12:J12,F01!K12:M12,F01!C16:C16,F01!G16:G16,F01!I16:I16,F01!K16:K16,F01!C17:C17,F01!G17:G17,F01!I17:I17,F01!K17:K17,F01!C18:C18,F01!G18:G18,F01!I18:I18,F01!K18:K18,F01!C19:C19,F01!G19:G19,F01!I19:I19,F01!K19:K19,F01!C20:C20,F01!G20:G20,F01!I20:I20,F01!K20:K20,F01!B25:J25,F01!K25:M25,F01!B27:M27,F01!B31:M31,F01!B33:G33,F01!H33:J33,F01!K33:M33,F01!B35:M35,F01!B39:J39,F01!K39:M39)&amp;" de 36 campos")</f>
        <v>Em branco</v>
      </c>
      <c r="G23" s="25" t="s">
        <v>34</v>
      </c>
    </row>
    <row r="24" customFormat="false" ht="30" hidden="false" customHeight="true" outlineLevel="0" collapsed="false">
      <c r="A24" s="1"/>
      <c r="B24" s="20" t="s">
        <v>35</v>
      </c>
      <c r="C24" s="21" t="s">
        <v>36</v>
      </c>
      <c r="D24" s="22" t="s">
        <v>37</v>
      </c>
      <c r="E24" s="23" t="str">
        <f aca="false">IF(F02!L3="","",F02!L3)</f>
        <v/>
      </c>
      <c r="F24" s="24" t="str">
        <f aca="false">IF(COUNTA(F02!L3:M3,F02!B10:G10,F02!H10:M10,F02!B12:G12,F02!H12:J12,F02!K12:M12,F02!B16:I16,F02!J16:M16,F02!B18:M18,F02!B20:M20,F02!B24:H24,F02!I24:M24,F02!B26:M26,F02!B28:J28,F02!K28:M28,F02!B32:D32,F02!E32:G32,F02!H32:M32,F02!B34:M34,F02!B38:M38,F02!B40:G40,F02!H40:J40,F02!K40:M40)=0,"Em branco",COUNTA(F02!L3:M3,F02!B10:G10,F02!H10:M10,F02!B12:G12,F02!H12:J12,F02!K12:M12,F02!B16:I16,F02!J16:M16,F02!B18:M18,F02!B20:M20,F02!B24:H24,F02!I24:M24,F02!B26:M26,F02!B28:J28,F02!K28:M28,F02!B32:D32,F02!E32:G32,F02!H32:M32,F02!B34:M34,F02!B38:M38,F02!B40:G40,F02!H40:J40,F02!K40:M40)&amp;" de 23 campos")</f>
        <v>Em branco</v>
      </c>
      <c r="G24" s="25" t="s">
        <v>34</v>
      </c>
    </row>
    <row r="25" customFormat="false" ht="30" hidden="false" customHeight="true" outlineLevel="0" collapsed="false">
      <c r="A25" s="1"/>
      <c r="B25" s="20" t="s">
        <v>38</v>
      </c>
      <c r="C25" s="21" t="s">
        <v>39</v>
      </c>
      <c r="D25" s="22" t="s">
        <v>40</v>
      </c>
      <c r="E25" s="23" t="str">
        <f aca="false">IF(F03!L3="","",F03!L3)</f>
        <v/>
      </c>
      <c r="F25" s="24" t="str">
        <f aca="false">IF(COUNTA(F03!L3:M3,F03!B10:G10,F03!H10:M10,F03!B12:G12,F03!H12:J12,F03!K12:M12,F03!C16:C16,F03!G16:G16,F03!H16:H16,F03!J16:J16,F03!L16:L16,F03!C17:C17,F03!G17:G17,F03!H17:H17,F03!J17:J17,F03!L17:L17,F03!C18:C18,F03!G18:G18,F03!H18:H18,F03!J18:J18,F03!L18:L18,F03!C19:C19,F03!G19:G19,F03!H19:H19,F03!J19:J19,F03!L19:L19,F03!C20:C20,F03!G20:G20,F03!H20:H20,F03!J20:J20,F03!L20:L20,F03!C21:C21,F03!G21:G21,F03!H21:H21,F03!J21:J21,F03!L21:L21,F03!C22:C22,F03!G22:G22,F03!H22:H22,F03!J22:J22,F03!L22:L22,F03!C23:C23,F03!G23:G23,F03!H23:H23,F03!J23:J23,F03!L23:L23,F03!C24:C24,F03!G24:G24,F03!H24:H24,F03!J24:J24,F03!L24:L24,F03!C25:C25,F03!G25:G25,F03!H25:H25,F03!J25:J25,F03!L25:L25,F03!C26:C26,F03!G26:G26,F03!H26:H26,F03!J26:J26,F03!L26:L26,F03!C27:C27,F03!G27:G27,F03!H27:H27,F03!J27:J27,F03!L27:L27,F03!C28:C28,F03!G28:G28,F03!H28:H28,F03!J28:J28,F03!L28:L28,F03!C29:C29,F03!G29:G29,F03!H29:H29,F03!J29:J29,F03!L29:L29,F03!B34:M34,F03!B36:G36,F03!H36:J36)=0,"Em branco",COUNTA(F03!L3:M3,F03!B10:G10,F03!H10:M10,F03!B12:G12,F03!H12:J12,F03!K12:M12,F03!C16:C16,F03!G16:G16,F03!H16:H16,F03!J16:J16,F03!L16:L16,F03!C17:C17,F03!G17:G17,F03!H17:H17,F03!J17:J17,F03!L17:L17,F03!C18:C18,F03!G18:G18,F03!H18:H18,F03!J18:J18,F03!L18:L18,F03!C19:C19,F03!G19:G19,F03!H19:H19,F03!J19:J19,F03!L19:L19,F03!C20:C20,F03!G20:G20,F03!H20:H20,F03!J20:J20,F03!L20:L20,F03!C21:C21,F03!G21:G21,F03!H21:H21,F03!J21:J21,F03!L21:L21,F03!C22:C22,F03!G22:G22,F03!H22:H22,F03!J22:J22,F03!L22:L22,F03!C23:C23,F03!G23:G23,F03!H23:H23,F03!J23:J23,F03!L23:L23,F03!C24:C24,F03!G24:G24,F03!H24:H24,F03!J24:J24,F03!L24:L24,F03!C25:C25,F03!G25:G25,F03!H25:H25,F03!J25:J25,F03!L25:L25,F03!C26:C26,F03!G26:G26,F03!H26:H26,F03!J26:J26,F03!L26:L26,F03!C27:C27,F03!G27:G27,F03!H27:H27,F03!J27:J27,F03!L27:L27,F03!C28:C28,F03!G28:G28,F03!H28:H28,F03!J28:J28,F03!L28:L28,F03!C29:C29,F03!G29:G29,F03!H29:H29,F03!J29:J29,F03!L29:L29,F03!B34:M34,F03!B36:G36,F03!H36:J36)&amp;" de 79 campos")</f>
        <v>Em branco</v>
      </c>
      <c r="G25" s="25" t="s">
        <v>34</v>
      </c>
    </row>
    <row r="26" customFormat="false" ht="30" hidden="false" customHeight="true" outlineLevel="0" collapsed="false">
      <c r="A26" s="1"/>
      <c r="B26" s="20" t="s">
        <v>41</v>
      </c>
      <c r="C26" s="21" t="s">
        <v>42</v>
      </c>
      <c r="D26" s="22" t="s">
        <v>43</v>
      </c>
      <c r="E26" s="23" t="str">
        <f aca="false">IF(F04!L3="","",F04!L3)</f>
        <v/>
      </c>
      <c r="F26" s="24" t="str">
        <f aca="false">IF(COUNTA(F04!L3:M3,F04!B10:G10,F04!H10:J10,F04!K10:M10,F04!B12:J12,F04!K12:M12,F04!C16:C16,F04!E16:E16,F04!G16:G16,F04!I16:I16,F04!K16:K16,F04!C17:C17,F04!E17:E17,F04!G17:G17,F04!I17:I17,F04!K17:K17,F04!C18:C18,F04!E18:E18,F04!G18:G18,F04!I18:I18,F04!K18:K18,F04!C19:C19,F04!E19:E19,F04!G19:G19,F04!I19:I19,F04!K19:K19,F04!C20:C20,F04!E20:E20,F04!G20:G20,F04!I20:I20,F04!K20:K20,F04!C21:C21,F04!E21:E21,F04!G21:G21,F04!I21:I21,F04!K21:K21,F04!B26:M26,F04!B28:M28,F04!B32:G32,F04!H32:J32,F04!K32:M32,F04!B34:M34,F04!B36:M36)=0,"Em branco",COUNTA(F04!L3:M3,F04!B10:G10,F04!H10:J10,F04!K10:M10,F04!B12:J12,F04!K12:M12,F04!C16:C16,F04!E16:E16,F04!G16:G16,F04!I16:I16,F04!K16:K16,F04!C17:C17,F04!E17:E17,F04!G17:G17,F04!I17:I17,F04!K17:K17,F04!C18:C18,F04!E18:E18,F04!G18:G18,F04!I18:I18,F04!K18:K18,F04!C19:C19,F04!E19:E19,F04!G19:G19,F04!I19:I19,F04!K19:K19,F04!C20:C20,F04!E20:E20,F04!G20:G20,F04!I20:I20,F04!K20:K20,F04!C21:C21,F04!E21:E21,F04!G21:G21,F04!I21:I21,F04!K21:K21,F04!B26:M26,F04!B28:M28,F04!B32:G32,F04!H32:J32,F04!K32:M32,F04!B34:M34,F04!B36:M36)&amp;" de 43 campos")</f>
        <v>Em branco</v>
      </c>
      <c r="G26" s="25" t="s">
        <v>34</v>
      </c>
    </row>
    <row r="27" customFormat="false" ht="30" hidden="false" customHeight="true" outlineLevel="0" collapsed="false">
      <c r="A27" s="1"/>
      <c r="B27" s="20" t="s">
        <v>44</v>
      </c>
      <c r="C27" s="21" t="s">
        <v>45</v>
      </c>
      <c r="D27" s="22" t="s">
        <v>46</v>
      </c>
      <c r="E27" s="23" t="str">
        <f aca="false">IF(F05!L3="","",F05!L3)</f>
        <v/>
      </c>
      <c r="F27" s="24" t="str">
        <f aca="false">IF(COUNTA(F05!L3:M3,F05!B10:G10,F05!H10:M10,F05!B12:D12,F05!E12:F12,F05!G12:H12,F05!I12:M12,F05!B14:G14,F05!H14:M14,F05!C18:C18,F05!G18:G18,F05!I18:I18,F05!K18:K18,F05!C19:C19,F05!G19:G19,F05!I19:I19,F05!K19:K19,F05!C20:C20,F05!G20:G20,F05!I20:I20,F05!K20:K20,F05!C21:C21,F05!G21:G21,F05!I21:I21,F05!K21:K21,F05!C22:C22,F05!G22:G22,F05!I22:I22,F05!K22:K22,F05!B27:M27,F05!B29:M29,F05!B33:G33,F05!H33:M33,F05!B35:M35,F05!B37:D37,F05!E37:M37)=0,"Em branco",COUNTA(F05!L3:M3,F05!B10:G10,F05!H10:M10,F05!B12:D12,F05!E12:F12,F05!G12:H12,F05!I12:M12,F05!B14:G14,F05!H14:M14,F05!C18:C18,F05!G18:G18,F05!I18:I18,F05!K18:K18,F05!C19:C19,F05!G19:G19,F05!I19:I19,F05!K19:K19,F05!C20:C20,F05!G20:G20,F05!I20:I20,F05!K20:K20,F05!C21:C21,F05!G21:G21,F05!I21:I21,F05!K21:K21,F05!C22:C22,F05!G22:G22,F05!I22:I22,F05!K22:K22,F05!B27:M27,F05!B29:M29,F05!B33:G33,F05!H33:M33,F05!B35:M35,F05!B37:D37,F05!E37:M37)&amp;" de 36 campos")</f>
        <v>Em branco</v>
      </c>
      <c r="G27" s="25" t="s">
        <v>34</v>
      </c>
    </row>
    <row r="28" customFormat="false" ht="19.5" hidden="false" customHeight="true" outlineLevel="0" collapsed="false">
      <c r="A28" s="1"/>
      <c r="B28" s="26" t="s">
        <v>47</v>
      </c>
      <c r="C28" s="26"/>
      <c r="D28" s="26"/>
      <c r="E28" s="26"/>
      <c r="F28" s="26"/>
      <c r="G28" s="26"/>
    </row>
    <row r="29" customFormat="false" ht="30" hidden="false" customHeight="true" outlineLevel="0" collapsed="false">
      <c r="A29" s="1"/>
      <c r="B29" s="27" t="s">
        <v>48</v>
      </c>
      <c r="C29" s="21" t="s">
        <v>49</v>
      </c>
      <c r="D29" s="22" t="s">
        <v>50</v>
      </c>
      <c r="E29" s="23" t="str">
        <f aca="false">IF(F06!L3="","",F06!L3)</f>
        <v/>
      </c>
      <c r="F29" s="24" t="str">
        <f aca="false">IF(COUNTA(F06!L3:M3,F06!B10:I10,F06!J10:M10,F06!B12:M12,F06!B14:G14,F06!H14:M14,F06!B18:G18,F06!H18:M18,F06!B20:M20,F06!H24:H24,F06!J24:J24,F06!L24:L24,F06!H25:H25,F06!J25:J25,F06!L25:L25,F06!H26:H26,F06!J26:J26,F06!L26:L26,F06!H27:H27,F06!J27:J27,F06!L27:L27,F06!C28:C28,F06!H28:H28,F06!J28:J28,F06!L28:L28,F06!C29:C29,F06!H29:H29,F06!J29:J29,F06!L29:L29,F06!B34:G34,F06!H34:J34,F06!K34:M34,F06!B36:M36)=0,"Em branco",COUNTA(F06!L3:M3,F06!B10:I10,F06!J10:M10,F06!B12:M12,F06!B14:G14,F06!H14:M14,F06!B18:G18,F06!H18:M18,F06!B20:M20,F06!H24:H24,F06!J24:J24,F06!L24:L24,F06!H25:H25,F06!J25:J25,F06!L25:L25,F06!H26:H26,F06!J26:J26,F06!L26:L26,F06!H27:H27,F06!J27:J27,F06!L27:L27,F06!C28:C28,F06!H28:H28,F06!J28:J28,F06!L28:L28,F06!C29:C29,F06!H29:H29,F06!J29:J29,F06!L29:L29,F06!B34:G34,F06!H34:J34,F06!K34:M34,F06!B36:M36)&amp;" de 33 campos")</f>
        <v>Em branco</v>
      </c>
      <c r="G29" s="25" t="s">
        <v>34</v>
      </c>
    </row>
    <row r="30" customFormat="false" ht="30" hidden="false" customHeight="true" outlineLevel="0" collapsed="false">
      <c r="A30" s="1"/>
      <c r="B30" s="27" t="s">
        <v>51</v>
      </c>
      <c r="C30" s="21" t="s">
        <v>52</v>
      </c>
      <c r="D30" s="22" t="s">
        <v>53</v>
      </c>
      <c r="E30" s="23" t="str">
        <f aca="false">IF(F07!L3="","",F07!L3)</f>
        <v/>
      </c>
      <c r="F30" s="24" t="str">
        <f aca="false">IF(COUNTA(F07!L3:M3,F07!B10:I10,F07!J10:M10,F07!B12:G12,F07!H12:M12,F07!B14:G14,F07!H14:M14,F07!C18:C18,F07!G18:G18,F07!K18:K18,F07!C19:C19,F07!G19:G19,F07!K19:K19,F07!C20:C20,F07!G20:G20,F07!K20:K20,F07!C21:C21,F07!G21:G21,F07!K21:K21,F07!H26:H26,F07!J26:J26,F07!L26:L26,F07!H27:H27,F07!J27:J27,F07!L27:L27,F07!H28:H28,F07!J28:J28,F07!L28:L28,F07!H29:H29,F07!J29:J29,F07!L29:L29,F07!C30:C30,F07!H30:H30,F07!J30:J30,F07!L30:L30,F07!B35:M35,F07!B37:J37,F07!K37:M37,F07!B39:M39)=0,"Em branco",COUNTA(F07!L3:M3,F07!B10:I10,F07!J10:M10,F07!B12:G12,F07!H12:M12,F07!B14:G14,F07!H14:M14,F07!C18:C18,F07!G18:G18,F07!K18:K18,F07!C19:C19,F07!G19:G19,F07!K19:K19,F07!C20:C20,F07!G20:G20,F07!K20:K20,F07!C21:C21,F07!G21:G21,F07!K21:K21,F07!H26:H26,F07!J26:J26,F07!L26:L26,F07!H27:H27,F07!J27:J27,F07!L27:L27,F07!H28:H28,F07!J28:J28,F07!L28:L28,F07!H29:H29,F07!J29:J29,F07!L29:L29,F07!C30:C30,F07!H30:H30,F07!J30:J30,F07!L30:L30,F07!B35:M35,F07!B37:J37,F07!K37:M37,F07!B39:M39)&amp;" de 39 campos")</f>
        <v>Em branco</v>
      </c>
      <c r="G30" s="25" t="s">
        <v>34</v>
      </c>
    </row>
    <row r="31" customFormat="false" ht="30" hidden="false" customHeight="true" outlineLevel="0" collapsed="false">
      <c r="A31" s="1"/>
      <c r="B31" s="27" t="s">
        <v>54</v>
      </c>
      <c r="C31" s="21" t="s">
        <v>55</v>
      </c>
      <c r="D31" s="22" t="s">
        <v>56</v>
      </c>
      <c r="E31" s="23" t="str">
        <f aca="false">IF(F08!L3="","",F08!L3)</f>
        <v/>
      </c>
      <c r="F31" s="24" t="str">
        <f aca="false">IF(COUNTA(F08!L3:M3,F08!B11:F11,F08!G11:M11,F08!B13:J13,F08!K13:M13,F08!B18:G18,F08!H18:J18,F08!K18:M18,F08!B20:G20,F08!B23:G23,F08!H23:J23,F08!K23:M23,F08!B25:G25,F08!B28:G28,F08!H28:J28,F08!K28:M28,F08!B30:G30,F08!B33:G33,F08!H33:J33,F08!K33:M33,F08!B35:B35,F08!C39:C39,F08!F39:F39,F08!H39:H39,F08!I39:I39,F08!K39:K39,F08!M39:M39,F08!C40:C40,F08!F40:F40,F08!H40:H40,F08!I40:I40,F08!K40:K40,F08!M40:M40,F08!C41:C41,F08!F41:F41,F08!H41:H41,F08!I41:I41,F08!K41:K41,F08!M41:M41,F08!C42:C42,F08!F42:F42,F08!H42:H42,F08!I42:I42,F08!K42:K42,F08!M42:M42,F08!B47:M47,F08!C49:C49,F08!I49:I49,F08!L49:L49,F08!M49:M49,F08!C50:C50,F08!I50:I50,F08!L50:L50,F08!M50:M50,F08!C51:C51,F08!I51:I51,F08!L51:L51,F08!M51:M51,F08!C52:C52,F08!I52:I52,F08!L52:L52,F08!M52:M52,F08!C53:C53,F08!I53:I53,F08!L53:L53,F08!M53:M53,F08!C54:C54,F08!I54:I54,F08!L54:L54,F08!M54:M54,F08!C55:C55,F08!I55:I55,F08!L55:L55,F08!M55:M55,F08!B58:M58)=0,"Em branco",COUNTA(F08!L3:M3,F08!B11:F11,F08!G11:M11,F08!B13:J13,F08!K13:M13,F08!B18:G18,F08!H18:J18,F08!K18:M18,F08!B20:G20,F08!B23:G23,F08!H23:J23,F08!K23:M23,F08!B25:G25,F08!B28:G28,F08!H28:J28,F08!K28:M28,F08!B30:G30,F08!B33:G33,F08!H33:J33,F08!K33:M33,F08!B35:B35,F08!C39:C39,F08!F39:F39,F08!H39:H39,F08!I39:I39,F08!K39:K39,F08!M39:M39,F08!C40:C40,F08!F40:F40,F08!H40:H40,F08!I40:I40,F08!K40:K40,F08!M40:M40,F08!C41:C41,F08!F41:F41,F08!H41:H41,F08!I41:I41,F08!K41:K41,F08!M41:M41,F08!C42:C42,F08!F42:F42,F08!H42:H42,F08!I42:I42,F08!K42:K42,F08!M42:M42,F08!B47:M47,F08!C49:C49,F08!I49:I49,F08!L49:L49,F08!M49:M49,F08!C50:C50,F08!I50:I50,F08!L50:L50,F08!M50:M50,F08!C51:C51,F08!I51:I51,F08!L51:L51,F08!M51:M51,F08!C52:C52,F08!I52:I52,F08!L52:L52,F08!M52:M52,F08!C53:C53,F08!I53:I53,F08!L53:L53,F08!M53:M53,F08!C54:C54,F08!I54:I54,F08!L54:L54,F08!M54:M54,F08!C55:C55,F08!I55:I55,F08!L55:L55,F08!M55:M55,F08!B58:M58)&amp;" de 75 campos")</f>
        <v>Em branco</v>
      </c>
      <c r="G31" s="25" t="s">
        <v>34</v>
      </c>
    </row>
    <row r="32" customFormat="false" ht="30" hidden="false" customHeight="true" outlineLevel="0" collapsed="false">
      <c r="A32" s="1"/>
      <c r="B32" s="27" t="s">
        <v>57</v>
      </c>
      <c r="C32" s="21" t="s">
        <v>58</v>
      </c>
      <c r="D32" s="22" t="s">
        <v>59</v>
      </c>
      <c r="E32" s="23" t="str">
        <f aca="false">IF(F09!L3="","",F09!L3)</f>
        <v/>
      </c>
      <c r="F32" s="24" t="str">
        <f aca="false">IF(COUNTA(F09!L3:M3,F09!B10:E10,F09!F10:J10,F09!K10:M10,F09!I14:I14,F09!K14:K14,F09!I15:I15,F09!K15:K15,F09!I16:I16,F09!K16:K16,F09!I17:I17,F09!K17:K17,F09!I18:I18,F09!K18:K18,F09!I19:I19,F09!K19:K19,F09!I20:I20,F09!K20:K20,F09!I21:I21,F09!K21:K21,F09!C22:C22,F09!I22:I22,F09!K22:K22,F09!C23:C23,F09!I23:I23,F09!K23:K23,F09!B28:M28,F09!B30:M30,F09!B34:G34,F09!H34:J34,F09!K34:M34,F09!B36:M36)=0,"Em branco",COUNTA(F09!L3:M3,F09!B10:E10,F09!F10:J10,F09!K10:M10,F09!I14:I14,F09!K14:K14,F09!I15:I15,F09!K15:K15,F09!I16:I16,F09!K16:K16,F09!I17:I17,F09!K17:K17,F09!I18:I18,F09!K18:K18,F09!I19:I19,F09!K19:K19,F09!I20:I20,F09!K20:K20,F09!I21:I21,F09!K21:K21,F09!C22:C22,F09!I22:I22,F09!K22:K22,F09!C23:C23,F09!I23:I23,F09!K23:K23,F09!B28:M28,F09!B30:M30,F09!B34:G34,F09!H34:J34,F09!K34:M34,F09!B36:M36)&amp;" de 32 campos")</f>
        <v>Em branco</v>
      </c>
      <c r="G32" s="25" t="s">
        <v>34</v>
      </c>
    </row>
    <row r="33" customFormat="false" ht="30" hidden="false" customHeight="true" outlineLevel="0" collapsed="false">
      <c r="A33" s="1"/>
      <c r="B33" s="27" t="s">
        <v>60</v>
      </c>
      <c r="C33" s="21" t="s">
        <v>61</v>
      </c>
      <c r="D33" s="22" t="s">
        <v>62</v>
      </c>
      <c r="E33" s="23" t="str">
        <f aca="false">IF(F10!L3="","",F10!L3)</f>
        <v/>
      </c>
      <c r="F33" s="24" t="str">
        <f aca="false">IF(COUNTA(F10!L3:M3,F10!B11:G11,F10!H11:M11,F10!B13:D13,F10!E13:F13,F10!G13:M13,F10!B15:G15,F10!H15:M15,F10!C19:C19,F10!G19:G19,F10!I19:I19,F10!J19:J19,F10!K19:K19,F10!C20:C20,F10!G20:G20,F10!I20:I20,F10!J20:J20,F10!K20:K20,F10!C21:C21,F10!G21:G21,F10!I21:I21,F10!J21:J21,F10!K21:K21,F10!C22:C22,F10!G22:G22,F10!I22:I22,F10!J22:J22,F10!K22:K22,F10!C23:C23,F10!G23:G23,F10!I23:I23,F10!J23:J23,F10!K23:K23,F10!C24:C24,F10!G24:G24,F10!I24:I24,F10!J24:J24,F10!K24:K24,F10!B29:M29,F10!B31:M31,F10!B35:J35,F10!K35:M35,F10!B37:M37)=0,"Em branco",COUNTA(F10!L3:M3,F10!B11:G11,F10!H11:M11,F10!B13:D13,F10!E13:F13,F10!G13:M13,F10!B15:G15,F10!H15:M15,F10!C19:C19,F10!G19:G19,F10!I19:I19,F10!J19:J19,F10!K19:K19,F10!C20:C20,F10!G20:G20,F10!I20:I20,F10!J20:J20,F10!K20:K20,F10!C21:C21,F10!G21:G21,F10!I21:I21,F10!J21:J21,F10!K21:K21,F10!C22:C22,F10!G22:G22,F10!I22:I22,F10!J22:J22,F10!K22:K22,F10!C23:C23,F10!G23:G23,F10!I23:I23,F10!J23:J23,F10!K23:K23,F10!C24:C24,F10!G24:G24,F10!I24:I24,F10!J24:J24,F10!K24:K24,F10!B29:M29,F10!B31:M31,F10!B35:J35,F10!K35:M35,F10!B37:M37)&amp;" de 43 campos")</f>
        <v>Em branco</v>
      </c>
      <c r="G33" s="25" t="s">
        <v>34</v>
      </c>
    </row>
    <row r="34" customFormat="false" ht="19.5" hidden="false" customHeight="true" outlineLevel="0" collapsed="false">
      <c r="A34" s="1"/>
      <c r="B34" s="28" t="s">
        <v>63</v>
      </c>
      <c r="C34" s="28"/>
      <c r="D34" s="28"/>
      <c r="E34" s="28"/>
      <c r="F34" s="28"/>
      <c r="G34" s="28"/>
    </row>
    <row r="35" customFormat="false" ht="30" hidden="false" customHeight="true" outlineLevel="0" collapsed="false">
      <c r="A35" s="1"/>
      <c r="B35" s="29" t="s">
        <v>64</v>
      </c>
      <c r="C35" s="21" t="s">
        <v>65</v>
      </c>
      <c r="D35" s="22" t="s">
        <v>66</v>
      </c>
      <c r="E35" s="23" t="str">
        <f aca="false">IF(F11!L3="","",F11!L3)</f>
        <v/>
      </c>
      <c r="F35" s="24" t="str">
        <f aca="false">IF(COUNTA(F11!L3:M3,F11!B10:E10,F11!F10:M10,F11!B12:G12,F11!H12:M12,F11!C16:C16,F11!G16:G16,F11!I16:I16,F11!K16:K16,F11!L16:L16,F11!C17:C17,F11!G17:G17,F11!I17:I17,F11!K17:K17,F11!L17:L17,F11!C18:C18,F11!G18:G18,F11!I18:I18,F11!K18:K18,F11!L18:L18,F11!C19:C19,F11!G19:G19,F11!I19:I19,F11!K19:K19,F11!L19:L19,F11!C20:C20,F11!G20:G20,F11!I20:I20,F11!K20:K20,F11!L20:L20,F11!B25:D25,F11!E25:G25,F11!H25:M25,F11!B27:M27,F11!B31:M31,F11!B33:M33,F11!B35:J35,F11!K35:M35)=0,"Em branco",COUNTA(F11!L3:M3,F11!B10:E10,F11!F10:M10,F11!B12:G12,F11!H12:M12,F11!C16:C16,F11!G16:G16,F11!I16:I16,F11!K16:K16,F11!L16:L16,F11!C17:C17,F11!G17:G17,F11!I17:I17,F11!K17:K17,F11!L17:L17,F11!C18:C18,F11!G18:G18,F11!I18:I18,F11!K18:K18,F11!L18:L18,F11!C19:C19,F11!G19:G19,F11!I19:I19,F11!K19:K19,F11!L19:L19,F11!C20:C20,F11!G20:G20,F11!I20:I20,F11!K20:K20,F11!L20:L20,F11!B25:D25,F11!E25:G25,F11!H25:M25,F11!B27:M27,F11!B31:M31,F11!B33:M33,F11!B35:J35,F11!K35:M35)&amp;" de 38 campos")</f>
        <v>Em branco</v>
      </c>
      <c r="G35" s="25" t="s">
        <v>34</v>
      </c>
    </row>
    <row r="36" customFormat="false" ht="30" hidden="false" customHeight="true" outlineLevel="0" collapsed="false">
      <c r="A36" s="1"/>
      <c r="B36" s="29" t="s">
        <v>67</v>
      </c>
      <c r="C36" s="21" t="s">
        <v>68</v>
      </c>
      <c r="D36" s="22" t="s">
        <v>69</v>
      </c>
      <c r="E36" s="23" t="str">
        <f aca="false">IF(F12!L3="","",F12!L3)</f>
        <v/>
      </c>
      <c r="F36" s="24" t="str">
        <f aca="false">IF(COUNTA(F12!L3:M3,F12!B10:G10,F12!H10:M10,F12!B12:J12,F12!K12:M12,F12!B17:D17,F12!E17:G17,F12!H17:M17,F12!B20:D20,F12!E20:G20,F12!H20:M20,F12!B27:M27,F12!B31:G31,F12!H31:J31,F12!K31:M31,F12!B33:M33,F12!B35:M35,F12!B37:M37)=0,"Em branco",COUNTA(F12!L3:M3,F12!B10:G10,F12!H10:M10,F12!B12:J12,F12!K12:M12,F12!B17:D17,F12!E17:G17,F12!H17:M17,F12!B20:D20,F12!E20:G20,F12!H20:M20,F12!B27:M27,F12!B31:G31,F12!H31:J31,F12!K31:M31,F12!B33:M33,F12!B35:M35,F12!B37:M37)&amp;" de 18 campos")</f>
        <v>Em branco</v>
      </c>
      <c r="G36" s="25" t="s">
        <v>34</v>
      </c>
    </row>
    <row r="37" customFormat="false" ht="30" hidden="false" customHeight="true" outlineLevel="0" collapsed="false">
      <c r="A37" s="1"/>
      <c r="B37" s="29" t="s">
        <v>70</v>
      </c>
      <c r="C37" s="21" t="s">
        <v>71</v>
      </c>
      <c r="D37" s="22" t="s">
        <v>72</v>
      </c>
      <c r="E37" s="23" t="str">
        <f aca="false">IF(F13!L3="","",F13!L3)</f>
        <v/>
      </c>
      <c r="F37" s="24" t="str">
        <f aca="false">IF(COUNTA(F13!L3:M3,F13!B10:D10,F13!E10:F10,F13!G10:M10,F13!B12:G12,F13!H12:M12,F13!B16:B16,F13!H16:H16,F13!B17:B17,F13!H17:H17,F13!B18:B18,F13!H18:H18,F13!B19:B19,F13!B21:M21,F13!B23:M23,F13!C27:C27,F13!H27:H27,F13!K27:K27,F13!C28:C28,F13!H28:H28,F13!K28:K28,F13!B31:M31,F13!B35:G35,F13!H35:K35,F13!L35:M35,F13!B37:M37)=0,"Em branco",COUNTA(F13!L3:M3,F13!B10:D10,F13!E10:F10,F13!G10:M10,F13!B12:G12,F13!H12:M12,F13!B16:B16,F13!H16:H16,F13!B17:B17,F13!H17:H17,F13!B18:B18,F13!H18:H18,F13!B19:B19,F13!B21:M21,F13!B23:M23,F13!C27:C27,F13!H27:H27,F13!K27:K27,F13!C28:C28,F13!H28:H28,F13!K28:K28,F13!B31:M31,F13!B35:G35,F13!H35:K35,F13!L35:M35,F13!B37:M37)&amp;" de 26 campos")</f>
        <v>Em branco</v>
      </c>
      <c r="G37" s="25" t="s">
        <v>34</v>
      </c>
    </row>
    <row r="38" customFormat="false" ht="30" hidden="false" customHeight="true" outlineLevel="0" collapsed="false">
      <c r="A38" s="1"/>
      <c r="B38" s="29" t="s">
        <v>73</v>
      </c>
      <c r="C38" s="21" t="s">
        <v>74</v>
      </c>
      <c r="D38" s="22" t="s">
        <v>75</v>
      </c>
      <c r="E38" s="23" t="str">
        <f aca="false">IF(F14!L3="","",F14!L3)</f>
        <v/>
      </c>
      <c r="F38" s="24" t="str">
        <f aca="false">IF(COUNTA(F14!L3:M3,F14!B10:F10,F14!G10:M10,F14!B12:M12,F14!B14:D14,F14!E14:M14,F14!B18:G18,F14!H18:M18,F14!B20:J20,F14!K20:M20,F14!C24:C24,F14!E24:E24,F14!L24:L24,F14!C25:C25,F14!E25:E25,F14!L25:L25,F14!C26:C26,F14!E26:E26,F14!L26:L26,F14!C27:C27,F14!E27:E27,F14!L27:L27,F14!C28:C28,F14!E28:E28,F14!L28:L28,F14!C29:C29,F14!E29:E29,F14!L29:L29,F14!C30:C30,F14!E30:E30,F14!L30:L30,F14!B35:M35,F14!B37:D37,F14!E37:J37,F14!K37:M37)=0,"Em branco",COUNTA(F14!L3:M3,F14!B10:F10,F14!G10:M10,F14!B12:M12,F14!B14:D14,F14!E14:M14,F14!B18:G18,F14!H18:M18,F14!B20:J20,F14!K20:M20,F14!C24:C24,F14!E24:E24,F14!L24:L24,F14!C25:C25,F14!E25:E25,F14!L25:L25,F14!C26:C26,F14!E26:E26,F14!L26:L26,F14!C27:C27,F14!E27:E27,F14!L27:L27,F14!C28:C28,F14!E28:E28,F14!L28:L28,F14!C29:C29,F14!E29:E29,F14!L29:L29,F14!C30:C30,F14!E30:E30,F14!L30:L30,F14!B35:M35,F14!B37:D37,F14!E37:J37,F14!K37:M37)&amp;" de 35 campos")</f>
        <v>Em branco</v>
      </c>
      <c r="G38" s="25" t="s">
        <v>34</v>
      </c>
    </row>
    <row r="39" customFormat="false" ht="30" hidden="false" customHeight="true" outlineLevel="0" collapsed="false">
      <c r="A39" s="1"/>
      <c r="B39" s="29" t="s">
        <v>76</v>
      </c>
      <c r="C39" s="21" t="s">
        <v>77</v>
      </c>
      <c r="D39" s="22" t="s">
        <v>78</v>
      </c>
      <c r="E39" s="23" t="str">
        <f aca="false">IF(F15!L3="","",F15!L3)</f>
        <v/>
      </c>
      <c r="F39" s="24" t="str">
        <f aca="false">IF(COUNTA(F15!L3:M3,F15!B11:E11,F15!F11:I11,F15!J11:M11,F15!G15:G15,F15!J15:J15,F15!L15:L15,F15!G16:G16,F15!J16:J16,F15!L16:L16,F15!G17:G17,F15!J17:J17,F15!L17:L17,F15!C18:C18,F15!G18:G18,F15!J18:J18,F15!L18:L18,F15!B23:M23,F15!B25:M25,F15!B27:M27,F15!B29:M29,F15!B31:M31,F15!B35:M35,F15!B37:J37,F15!K37:M37)=0,"Em branco",COUNTA(F15!L3:M3,F15!B11:E11,F15!F11:I11,F15!J11:M11,F15!G15:G15,F15!J15:J15,F15!L15:L15,F15!G16:G16,F15!J16:J16,F15!L16:L16,F15!G17:G17,F15!J17:J17,F15!L17:L17,F15!C18:C18,F15!G18:G18,F15!J18:J18,F15!L18:L18,F15!B23:M23,F15!B25:M25,F15!B27:M27,F15!B29:M29,F15!B31:M31,F15!B35:M35,F15!B37:J37,F15!K37:M37)&amp;" de 25 campos")</f>
        <v>Em branco</v>
      </c>
      <c r="G39" s="25" t="s">
        <v>34</v>
      </c>
    </row>
    <row r="40" customFormat="false" ht="21.75" hidden="false" customHeight="true" outlineLevel="0" collapsed="false">
      <c r="A40" s="1"/>
      <c r="B40" s="30" t="s">
        <v>79</v>
      </c>
      <c r="C40" s="30"/>
      <c r="D40" s="30"/>
      <c r="E40" s="1"/>
      <c r="F40" s="1"/>
      <c r="G40" s="1"/>
    </row>
    <row r="41" customFormat="false" ht="25.5" hidden="false" customHeight="true" outlineLevel="0" collapsed="false">
      <c r="A41" s="1"/>
      <c r="B41" s="31" t="s">
        <v>80</v>
      </c>
      <c r="C41" s="31"/>
      <c r="D41" s="31"/>
      <c r="E41" s="31"/>
      <c r="F41" s="31"/>
      <c r="G41" s="31"/>
    </row>
  </sheetData>
  <mergeCells count="20">
    <mergeCell ref="B2:G2"/>
    <mergeCell ref="B3:G3"/>
    <mergeCell ref="B4:G4"/>
    <mergeCell ref="B5:G5"/>
    <mergeCell ref="B7:G7"/>
    <mergeCell ref="B9:G9"/>
    <mergeCell ref="D10:G10"/>
    <mergeCell ref="D11:G11"/>
    <mergeCell ref="D12:G12"/>
    <mergeCell ref="D13:G13"/>
    <mergeCell ref="B15:G15"/>
    <mergeCell ref="C16:G16"/>
    <mergeCell ref="C17:G17"/>
    <mergeCell ref="B18:G18"/>
    <mergeCell ref="B20:G20"/>
    <mergeCell ref="B22:G22"/>
    <mergeCell ref="B28:G28"/>
    <mergeCell ref="B34:G34"/>
    <mergeCell ref="B40:D40"/>
    <mergeCell ref="B41:G41"/>
  </mergeCells>
  <hyperlinks>
    <hyperlink ref="G23" r:id="rId1" location="'F01'!A1" display="Abrir ›"/>
    <hyperlink ref="G24" r:id="rId2" location="'F02'!A1" display="Abrir ›"/>
    <hyperlink ref="G25" r:id="rId3" location="'F03'!A1" display="Abrir ›"/>
    <hyperlink ref="G26" r:id="rId4" location="'F04'!A1" display="Abrir ›"/>
    <hyperlink ref="G27" r:id="rId5" location="'F05'!A1" display="Abrir ›"/>
    <hyperlink ref="G29" r:id="rId6" location="'F06'!A1" display="Abrir ›"/>
    <hyperlink ref="G30" r:id="rId7" location="'F07'!A1" display="Abrir ›"/>
    <hyperlink ref="G31" r:id="rId8" location="'F08'!A1" display="Abrir ›"/>
    <hyperlink ref="G32" r:id="rId9" location="'F09'!A1" display="Abrir ›"/>
    <hyperlink ref="G33" r:id="rId10" location="'F10'!A1" display="Abrir ›"/>
    <hyperlink ref="G35" r:id="rId11" location="'F11'!A1" display="Abrir ›"/>
    <hyperlink ref="G36" r:id="rId12" location="'F12'!A1" display="Abrir ›"/>
    <hyperlink ref="G37" r:id="rId13" location="'F13'!A1" display="Abrir ›"/>
    <hyperlink ref="G38" r:id="rId14" location="'F14'!A1" display="Abrir ›"/>
    <hyperlink ref="G39" r:id="rId15" location="'F15'!A1" display="Abrir ›"/>
    <hyperlink ref="B40" r:id="rId16" location="'Orientações'!A1" display="Orientações finais de utilização ›"/>
  </hyperlinks>
  <printOptions headings="false" gridLines="false" gridLinesSet="true" horizontalCentered="false" verticalCentered="false"/>
  <pageMargins left="0.45" right="0.4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Kit Pré-MTR · Índice&amp;R&amp;"Arial,Regular"&amp;7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06C"/>
    <pageSetUpPr fitToPage="tru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33" t="s">
        <v>82</v>
      </c>
      <c r="C2" s="33"/>
      <c r="D2" s="33"/>
      <c r="E2" s="33"/>
      <c r="F2" s="33"/>
      <c r="G2" s="33"/>
      <c r="H2" s="33"/>
      <c r="I2" s="33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37" t="s">
        <v>32</v>
      </c>
      <c r="C3" s="37"/>
      <c r="D3" s="37"/>
      <c r="E3" s="37"/>
      <c r="F3" s="37"/>
      <c r="G3" s="37"/>
      <c r="H3" s="37"/>
      <c r="I3" s="37"/>
      <c r="J3" s="38" t="s">
        <v>31</v>
      </c>
      <c r="K3" s="39" t="s">
        <v>84</v>
      </c>
      <c r="L3" s="40"/>
      <c r="M3" s="40"/>
    </row>
    <row r="4" customFormat="false" ht="6" hidden="false" customHeight="true" outlineLevel="0" collapsed="false">
      <c r="A4" s="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customFormat="false" ht="15.75" hidden="false" customHeight="true" outlineLevel="0" collapsed="false">
      <c r="A5" s="1"/>
      <c r="B5" s="42" t="s">
        <v>85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43" t="s">
        <v>86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44" t="s">
        <v>87</v>
      </c>
      <c r="C8" s="45" t="s">
        <v>88</v>
      </c>
      <c r="D8" s="45"/>
      <c r="E8" s="45"/>
      <c r="F8" s="45"/>
      <c r="G8" s="45"/>
      <c r="H8" s="45"/>
      <c r="I8" s="45"/>
      <c r="J8" s="45"/>
      <c r="K8" s="45"/>
      <c r="L8" s="45"/>
      <c r="M8" s="45"/>
    </row>
    <row r="9" customFormat="false" ht="13.5" hidden="false" customHeight="true" outlineLevel="0" collapsed="false">
      <c r="A9" s="1"/>
      <c r="B9" s="46" t="s">
        <v>89</v>
      </c>
      <c r="C9" s="46"/>
      <c r="D9" s="46"/>
      <c r="E9" s="46"/>
      <c r="F9" s="46"/>
      <c r="G9" s="46"/>
      <c r="H9" s="46" t="s">
        <v>90</v>
      </c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91</v>
      </c>
      <c r="C11" s="46"/>
      <c r="D11" s="46"/>
      <c r="E11" s="46"/>
      <c r="F11" s="46"/>
      <c r="G11" s="46" t="s">
        <v>92</v>
      </c>
      <c r="H11" s="46"/>
      <c r="I11" s="46"/>
      <c r="J11" s="46"/>
      <c r="K11" s="46" t="s">
        <v>93</v>
      </c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7"/>
      <c r="L12" s="47"/>
      <c r="M12" s="47"/>
    </row>
    <row r="13" customFormat="false" ht="7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9.5" hidden="false" customHeight="true" outlineLevel="0" collapsed="false">
      <c r="A14" s="1"/>
      <c r="B14" s="44" t="s">
        <v>94</v>
      </c>
      <c r="C14" s="45" t="s">
        <v>95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customFormat="false" ht="25.5" hidden="false" customHeight="true" outlineLevel="0" collapsed="false">
      <c r="A15" s="1"/>
      <c r="B15" s="48" t="s">
        <v>96</v>
      </c>
      <c r="C15" s="49" t="s">
        <v>97</v>
      </c>
      <c r="D15" s="49"/>
      <c r="E15" s="49"/>
      <c r="F15" s="49"/>
      <c r="G15" s="48" t="s">
        <v>98</v>
      </c>
      <c r="H15" s="48"/>
      <c r="I15" s="49" t="s">
        <v>99</v>
      </c>
      <c r="J15" s="49"/>
      <c r="K15" s="49" t="s">
        <v>100</v>
      </c>
      <c r="L15" s="49"/>
      <c r="M15" s="49"/>
    </row>
    <row r="16" customFormat="false" ht="19.5" hidden="false" customHeight="true" outlineLevel="0" collapsed="false">
      <c r="A16" s="1"/>
      <c r="B16" s="50" t="n">
        <v>1</v>
      </c>
      <c r="C16" s="51"/>
      <c r="D16" s="51"/>
      <c r="E16" s="51"/>
      <c r="F16" s="51"/>
      <c r="G16" s="52"/>
      <c r="H16" s="52"/>
      <c r="I16" s="51"/>
      <c r="J16" s="51"/>
      <c r="K16" s="51"/>
      <c r="L16" s="51"/>
      <c r="M16" s="51"/>
    </row>
    <row r="17" customFormat="false" ht="19.5" hidden="false" customHeight="true" outlineLevel="0" collapsed="false">
      <c r="A17" s="1"/>
      <c r="B17" s="50" t="n">
        <v>2</v>
      </c>
      <c r="C17" s="51"/>
      <c r="D17" s="51"/>
      <c r="E17" s="51"/>
      <c r="F17" s="51"/>
      <c r="G17" s="52"/>
      <c r="H17" s="52"/>
      <c r="I17" s="51"/>
      <c r="J17" s="51"/>
      <c r="K17" s="51"/>
      <c r="L17" s="51"/>
      <c r="M17" s="51"/>
    </row>
    <row r="18" customFormat="false" ht="19.5" hidden="false" customHeight="true" outlineLevel="0" collapsed="false">
      <c r="A18" s="1"/>
      <c r="B18" s="50" t="n">
        <v>3</v>
      </c>
      <c r="C18" s="51"/>
      <c r="D18" s="51"/>
      <c r="E18" s="51"/>
      <c r="F18" s="51"/>
      <c r="G18" s="52"/>
      <c r="H18" s="52"/>
      <c r="I18" s="51"/>
      <c r="J18" s="51"/>
      <c r="K18" s="51"/>
      <c r="L18" s="51"/>
      <c r="M18" s="51"/>
    </row>
    <row r="19" customFormat="false" ht="19.5" hidden="false" customHeight="true" outlineLevel="0" collapsed="false">
      <c r="A19" s="1"/>
      <c r="B19" s="50" t="n">
        <v>4</v>
      </c>
      <c r="C19" s="51"/>
      <c r="D19" s="51"/>
      <c r="E19" s="51"/>
      <c r="F19" s="51"/>
      <c r="G19" s="52"/>
      <c r="H19" s="52"/>
      <c r="I19" s="51"/>
      <c r="J19" s="51"/>
      <c r="K19" s="51"/>
      <c r="L19" s="51"/>
      <c r="M19" s="51"/>
    </row>
    <row r="20" customFormat="false" ht="19.5" hidden="false" customHeight="true" outlineLevel="0" collapsed="false">
      <c r="A20" s="1"/>
      <c r="B20" s="50" t="n">
        <v>5</v>
      </c>
      <c r="C20" s="51"/>
      <c r="D20" s="51"/>
      <c r="E20" s="51"/>
      <c r="F20" s="51"/>
      <c r="G20" s="52"/>
      <c r="H20" s="52"/>
      <c r="I20" s="51"/>
      <c r="J20" s="51"/>
      <c r="K20" s="51"/>
      <c r="L20" s="51"/>
      <c r="M20" s="51"/>
    </row>
    <row r="21" customFormat="false" ht="13.5" hidden="false" customHeight="true" outlineLevel="0" collapsed="false">
      <c r="A21" s="1"/>
      <c r="B21" s="53" t="s">
        <v>101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</row>
    <row r="22" customFormat="false" ht="7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9.5" hidden="false" customHeight="true" outlineLevel="0" collapsed="false">
      <c r="A23" s="1"/>
      <c r="B23" s="44" t="s">
        <v>102</v>
      </c>
      <c r="C23" s="45" t="s">
        <v>103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</row>
    <row r="24" customFormat="false" ht="13.5" hidden="false" customHeight="true" outlineLevel="0" collapsed="false">
      <c r="A24" s="1"/>
      <c r="B24" s="46" t="s">
        <v>104</v>
      </c>
      <c r="C24" s="46"/>
      <c r="D24" s="46"/>
      <c r="E24" s="46"/>
      <c r="F24" s="46"/>
      <c r="G24" s="46"/>
      <c r="H24" s="46"/>
      <c r="I24" s="46"/>
      <c r="J24" s="46"/>
      <c r="K24" s="46" t="s">
        <v>105</v>
      </c>
      <c r="L24" s="46"/>
      <c r="M24" s="46"/>
    </row>
    <row r="25" customFormat="false" ht="21" hidden="false" customHeight="true" outlineLevel="0" collapsed="false">
      <c r="A25" s="1"/>
      <c r="B25" s="40"/>
      <c r="C25" s="40"/>
      <c r="D25" s="40"/>
      <c r="E25" s="40"/>
      <c r="F25" s="40"/>
      <c r="G25" s="40"/>
      <c r="H25" s="40"/>
      <c r="I25" s="40"/>
      <c r="J25" s="40"/>
      <c r="K25" s="47"/>
      <c r="L25" s="47"/>
      <c r="M25" s="47"/>
    </row>
    <row r="26" customFormat="false" ht="13.5" hidden="false" customHeight="true" outlineLevel="0" collapsed="false">
      <c r="A26" s="1"/>
      <c r="B26" s="46" t="s">
        <v>106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customFormat="false" ht="51" hidden="false" customHeight="true" outlineLevel="0" collapsed="false">
      <c r="A27" s="1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</row>
    <row r="28" customFormat="false" ht="7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9.5" hidden="false" customHeight="true" outlineLevel="0" collapsed="false">
      <c r="A29" s="1"/>
      <c r="B29" s="44" t="s">
        <v>107</v>
      </c>
      <c r="C29" s="45" t="s">
        <v>108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customFormat="false" ht="13.5" hidden="false" customHeight="true" outlineLevel="0" collapsed="false">
      <c r="A30" s="1"/>
      <c r="B30" s="46" t="s">
        <v>109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customFormat="false" ht="21" hidden="false" customHeight="true" outlineLevel="0" collapsed="false">
      <c r="A31" s="1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</row>
    <row r="32" customFormat="false" ht="13.5" hidden="false" customHeight="true" outlineLevel="0" collapsed="false">
      <c r="A32" s="1"/>
      <c r="B32" s="46" t="s">
        <v>110</v>
      </c>
      <c r="C32" s="46"/>
      <c r="D32" s="46"/>
      <c r="E32" s="46"/>
      <c r="F32" s="46"/>
      <c r="G32" s="46"/>
      <c r="H32" s="46" t="s">
        <v>111</v>
      </c>
      <c r="I32" s="46"/>
      <c r="J32" s="46"/>
      <c r="K32" s="46" t="s">
        <v>112</v>
      </c>
      <c r="L32" s="46"/>
      <c r="M32" s="46"/>
    </row>
    <row r="33" customFormat="false" ht="21" hidden="false" customHeight="true" outlineLevel="0" collapsed="false">
      <c r="A33" s="1"/>
      <c r="B33" s="40"/>
      <c r="C33" s="40"/>
      <c r="D33" s="40"/>
      <c r="E33" s="40"/>
      <c r="F33" s="40"/>
      <c r="G33" s="40"/>
      <c r="H33" s="47"/>
      <c r="I33" s="47"/>
      <c r="J33" s="47"/>
      <c r="K33" s="47"/>
      <c r="L33" s="47"/>
      <c r="M33" s="47"/>
    </row>
    <row r="34" customFormat="false" ht="13.5" hidden="false" customHeight="true" outlineLevel="0" collapsed="false">
      <c r="A34" s="1"/>
      <c r="B34" s="46" t="s">
        <v>113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customFormat="false" ht="36" hidden="false" customHeight="true" outlineLevel="0" collapsed="false">
      <c r="A35" s="1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customFormat="false" ht="7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9.5" hidden="false" customHeight="true" outlineLevel="0" collapsed="false">
      <c r="A37" s="1"/>
      <c r="B37" s="44" t="s">
        <v>114</v>
      </c>
      <c r="C37" s="45" t="s">
        <v>115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customFormat="false" ht="13.5" hidden="false" customHeight="true" outlineLevel="0" collapsed="false">
      <c r="A38" s="1"/>
      <c r="B38" s="46" t="s">
        <v>116</v>
      </c>
      <c r="C38" s="46"/>
      <c r="D38" s="46"/>
      <c r="E38" s="46"/>
      <c r="F38" s="46"/>
      <c r="G38" s="46"/>
      <c r="H38" s="46"/>
      <c r="I38" s="46"/>
      <c r="J38" s="46"/>
      <c r="K38" s="46" t="s">
        <v>117</v>
      </c>
      <c r="L38" s="46"/>
      <c r="M38" s="46"/>
    </row>
    <row r="39" customFormat="false" ht="21" hidden="false" customHeight="true" outlineLevel="0" collapsed="false">
      <c r="A39" s="1"/>
      <c r="B39" s="40"/>
      <c r="C39" s="40"/>
      <c r="D39" s="40"/>
      <c r="E39" s="40"/>
      <c r="F39" s="40"/>
      <c r="G39" s="40"/>
      <c r="H39" s="40"/>
      <c r="I39" s="40"/>
      <c r="J39" s="40"/>
      <c r="K39" s="47"/>
      <c r="L39" s="47"/>
      <c r="M39" s="47"/>
    </row>
    <row r="40" customFormat="false" ht="9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3.5" hidden="false" customHeight="true" outlineLevel="0" collapsed="false">
      <c r="A41" s="1"/>
      <c r="B41" s="55" t="s">
        <v>118</v>
      </c>
      <c r="C41" s="55"/>
      <c r="D41" s="55"/>
      <c r="E41" s="55"/>
      <c r="F41" s="55"/>
      <c r="G41" s="55"/>
      <c r="H41" s="55"/>
      <c r="I41" s="56" t="s">
        <v>119</v>
      </c>
      <c r="J41" s="56"/>
      <c r="K41" s="56"/>
      <c r="L41" s="56"/>
      <c r="M41" s="56"/>
    </row>
  </sheetData>
  <mergeCells count="69">
    <mergeCell ref="K1:M1"/>
    <mergeCell ref="B2:I2"/>
    <mergeCell ref="L2:M2"/>
    <mergeCell ref="B3:I3"/>
    <mergeCell ref="L3:M3"/>
    <mergeCell ref="B5:M5"/>
    <mergeCell ref="B6:M6"/>
    <mergeCell ref="C8:M8"/>
    <mergeCell ref="B9:G9"/>
    <mergeCell ref="H9:M9"/>
    <mergeCell ref="B10:G10"/>
    <mergeCell ref="H10:M10"/>
    <mergeCell ref="B11:F11"/>
    <mergeCell ref="G11:J11"/>
    <mergeCell ref="K11:M11"/>
    <mergeCell ref="B12:F12"/>
    <mergeCell ref="G12:J12"/>
    <mergeCell ref="K12:M12"/>
    <mergeCell ref="C14:M14"/>
    <mergeCell ref="C15:F15"/>
    <mergeCell ref="G15:H15"/>
    <mergeCell ref="I15:J15"/>
    <mergeCell ref="K15:M15"/>
    <mergeCell ref="C16:F16"/>
    <mergeCell ref="G16:H16"/>
    <mergeCell ref="I16:J16"/>
    <mergeCell ref="K16:M16"/>
    <mergeCell ref="C17:F17"/>
    <mergeCell ref="G17:H17"/>
    <mergeCell ref="I17:J17"/>
    <mergeCell ref="K17:M17"/>
    <mergeCell ref="C18:F18"/>
    <mergeCell ref="G18:H18"/>
    <mergeCell ref="I18:J18"/>
    <mergeCell ref="K18:M18"/>
    <mergeCell ref="C19:F19"/>
    <mergeCell ref="G19:H19"/>
    <mergeCell ref="I19:J19"/>
    <mergeCell ref="K19:M19"/>
    <mergeCell ref="C20:F20"/>
    <mergeCell ref="G20:H20"/>
    <mergeCell ref="I20:J20"/>
    <mergeCell ref="K20:M20"/>
    <mergeCell ref="B21:M21"/>
    <mergeCell ref="C23:M23"/>
    <mergeCell ref="B24:J24"/>
    <mergeCell ref="K24:M24"/>
    <mergeCell ref="B25:J25"/>
    <mergeCell ref="K25:M25"/>
    <mergeCell ref="B26:M26"/>
    <mergeCell ref="B27:M27"/>
    <mergeCell ref="C29:M29"/>
    <mergeCell ref="B30:M30"/>
    <mergeCell ref="B31:M31"/>
    <mergeCell ref="B32:G32"/>
    <mergeCell ref="H32:J32"/>
    <mergeCell ref="K32:M32"/>
    <mergeCell ref="B33:G33"/>
    <mergeCell ref="H33:J33"/>
    <mergeCell ref="K33:M33"/>
    <mergeCell ref="B34:M34"/>
    <mergeCell ref="B35:M35"/>
    <mergeCell ref="C37:M37"/>
    <mergeCell ref="B38:J38"/>
    <mergeCell ref="K38:M38"/>
    <mergeCell ref="B39:J39"/>
    <mergeCell ref="K39:M39"/>
    <mergeCell ref="B41:H41"/>
    <mergeCell ref="I41:M41"/>
  </mergeCells>
  <dataValidations count="4"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K12 K25 H33 K33 K39" type="date">
      <formula1>DATE(2000,1,1)</formula1>
      <formula2>DATE(2100,12,31)</formula2>
    </dataValidation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G16:G20" type="decimal">
      <formula1>0</formula1>
      <formula2>0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I16:I20" type="list">
      <formula1>Listas!$A$2:$A$11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1" type="list">
      <formula1>Listas!$B$2:$B$6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F01 · Solicitação de coleta de resíduos · Modelo interno v1.0&amp;R&amp;"Arial,Regular"&amp;7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06C"/>
    <pageSetUpPr fitToPage="true"/>
  </sheetPr>
  <dimension ref="A1:M4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33" t="s">
        <v>120</v>
      </c>
      <c r="C2" s="33"/>
      <c r="D2" s="33"/>
      <c r="E2" s="33"/>
      <c r="F2" s="33"/>
      <c r="G2" s="33"/>
      <c r="H2" s="33"/>
      <c r="I2" s="33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37" t="s">
        <v>36</v>
      </c>
      <c r="C3" s="37"/>
      <c r="D3" s="37"/>
      <c r="E3" s="37"/>
      <c r="F3" s="37"/>
      <c r="G3" s="37"/>
      <c r="H3" s="37"/>
      <c r="I3" s="37"/>
      <c r="J3" s="38" t="s">
        <v>35</v>
      </c>
      <c r="K3" s="39" t="s">
        <v>84</v>
      </c>
      <c r="L3" s="40"/>
      <c r="M3" s="40"/>
    </row>
    <row r="4" customFormat="false" ht="6" hidden="false" customHeight="true" outlineLevel="0" collapsed="false">
      <c r="A4" s="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customFormat="false" ht="15.75" hidden="false" customHeight="true" outlineLevel="0" collapsed="false">
      <c r="A5" s="1"/>
      <c r="B5" s="42" t="s">
        <v>121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43" t="s">
        <v>122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44" t="s">
        <v>87</v>
      </c>
      <c r="C8" s="45" t="s">
        <v>123</v>
      </c>
      <c r="D8" s="45"/>
      <c r="E8" s="45"/>
      <c r="F8" s="45"/>
      <c r="G8" s="45"/>
      <c r="H8" s="45"/>
      <c r="I8" s="45"/>
      <c r="J8" s="45"/>
      <c r="K8" s="45"/>
      <c r="L8" s="45"/>
      <c r="M8" s="45"/>
    </row>
    <row r="9" customFormat="false" ht="13.5" hidden="false" customHeight="true" outlineLevel="0" collapsed="false">
      <c r="A9" s="1"/>
      <c r="B9" s="46" t="s">
        <v>124</v>
      </c>
      <c r="C9" s="46"/>
      <c r="D9" s="46"/>
      <c r="E9" s="46"/>
      <c r="F9" s="46"/>
      <c r="G9" s="46"/>
      <c r="H9" s="46" t="s">
        <v>125</v>
      </c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126</v>
      </c>
      <c r="C11" s="46"/>
      <c r="D11" s="46"/>
      <c r="E11" s="46"/>
      <c r="F11" s="46"/>
      <c r="G11" s="46"/>
      <c r="H11" s="46" t="s">
        <v>127</v>
      </c>
      <c r="I11" s="46"/>
      <c r="J11" s="46"/>
      <c r="K11" s="46" t="s">
        <v>128</v>
      </c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7"/>
      <c r="L12" s="47"/>
      <c r="M12" s="47"/>
    </row>
    <row r="13" customFormat="false" ht="7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9.5" hidden="false" customHeight="true" outlineLevel="0" collapsed="false">
      <c r="A14" s="1"/>
      <c r="B14" s="44" t="s">
        <v>94</v>
      </c>
      <c r="C14" s="45" t="s">
        <v>129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customFormat="false" ht="13.5" hidden="false" customHeight="true" outlineLevel="0" collapsed="false">
      <c r="A15" s="1"/>
      <c r="B15" s="46" t="s">
        <v>130</v>
      </c>
      <c r="C15" s="46"/>
      <c r="D15" s="46"/>
      <c r="E15" s="46"/>
      <c r="F15" s="46"/>
      <c r="G15" s="46"/>
      <c r="H15" s="46"/>
      <c r="I15" s="46"/>
      <c r="J15" s="46" t="s">
        <v>131</v>
      </c>
      <c r="K15" s="46"/>
      <c r="L15" s="46"/>
      <c r="M15" s="46"/>
    </row>
    <row r="16" customFormat="false" ht="21" hidden="false" customHeight="true" outlineLevel="0" collapsed="false">
      <c r="A16" s="1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customFormat="false" ht="13.5" hidden="false" customHeight="true" outlineLevel="0" collapsed="false">
      <c r="A17" s="1"/>
      <c r="B17" s="46" t="s">
        <v>132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customFormat="false" ht="36" hidden="false" customHeight="true" outlineLevel="0" collapsed="false">
      <c r="A18" s="1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customFormat="false" ht="13.5" hidden="false" customHeight="true" outlineLevel="0" collapsed="false">
      <c r="A19" s="1"/>
      <c r="B19" s="46" t="s">
        <v>133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customFormat="false" ht="21" hidden="false" customHeight="true" outlineLevel="0" collapsed="false">
      <c r="A20" s="1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</row>
    <row r="21" customFormat="false" ht="7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9.5" hidden="false" customHeight="true" outlineLevel="0" collapsed="false">
      <c r="A22" s="1"/>
      <c r="B22" s="44" t="s">
        <v>102</v>
      </c>
      <c r="C22" s="45" t="s">
        <v>134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customFormat="false" ht="13.5" hidden="false" customHeight="true" outlineLevel="0" collapsed="false">
      <c r="A23" s="1"/>
      <c r="B23" s="46" t="s">
        <v>135</v>
      </c>
      <c r="C23" s="46"/>
      <c r="D23" s="46"/>
      <c r="E23" s="46"/>
      <c r="F23" s="46"/>
      <c r="G23" s="46"/>
      <c r="H23" s="46"/>
      <c r="I23" s="46" t="s">
        <v>136</v>
      </c>
      <c r="J23" s="46"/>
      <c r="K23" s="46"/>
      <c r="L23" s="46"/>
      <c r="M23" s="46"/>
    </row>
    <row r="24" customFormat="false" ht="21" hidden="false" customHeight="true" outlineLevel="0" collapsed="false">
      <c r="A24" s="1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</row>
    <row r="25" customFormat="false" ht="13.5" hidden="false" customHeight="true" outlineLevel="0" collapsed="false">
      <c r="A25" s="1"/>
      <c r="B25" s="46" t="s">
        <v>137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customFormat="false" ht="21" hidden="false" customHeight="true" outlineLevel="0" collapsed="false">
      <c r="A26" s="1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</row>
    <row r="27" customFormat="false" ht="13.5" hidden="false" customHeight="true" outlineLevel="0" collapsed="false">
      <c r="A27" s="1"/>
      <c r="B27" s="46" t="s">
        <v>138</v>
      </c>
      <c r="C27" s="46"/>
      <c r="D27" s="46"/>
      <c r="E27" s="46"/>
      <c r="F27" s="46"/>
      <c r="G27" s="46"/>
      <c r="H27" s="46"/>
      <c r="I27" s="46"/>
      <c r="J27" s="46"/>
      <c r="K27" s="46" t="s">
        <v>139</v>
      </c>
      <c r="L27" s="46"/>
      <c r="M27" s="46"/>
    </row>
    <row r="28" customFormat="false" ht="21" hidden="false" customHeight="true" outlineLevel="0" collapsed="false">
      <c r="A28" s="1"/>
      <c r="B28" s="40"/>
      <c r="C28" s="40"/>
      <c r="D28" s="40"/>
      <c r="E28" s="40"/>
      <c r="F28" s="40"/>
      <c r="G28" s="40"/>
      <c r="H28" s="40"/>
      <c r="I28" s="40"/>
      <c r="J28" s="40"/>
      <c r="K28" s="47"/>
      <c r="L28" s="47"/>
      <c r="M28" s="47"/>
    </row>
    <row r="29" customFormat="false" ht="7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9.5" hidden="false" customHeight="true" outlineLevel="0" collapsed="false">
      <c r="A30" s="1"/>
      <c r="B30" s="44" t="s">
        <v>107</v>
      </c>
      <c r="C30" s="45" t="s">
        <v>140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customFormat="false" ht="13.5" hidden="false" customHeight="true" outlineLevel="0" collapsed="false">
      <c r="A31" s="1"/>
      <c r="B31" s="46" t="s">
        <v>98</v>
      </c>
      <c r="C31" s="46"/>
      <c r="D31" s="46"/>
      <c r="E31" s="46" t="s">
        <v>99</v>
      </c>
      <c r="F31" s="46"/>
      <c r="G31" s="46"/>
      <c r="H31" s="46" t="s">
        <v>141</v>
      </c>
      <c r="I31" s="46"/>
      <c r="J31" s="46"/>
      <c r="K31" s="46"/>
      <c r="L31" s="46"/>
      <c r="M31" s="46"/>
    </row>
    <row r="32" customFormat="false" ht="21" hidden="false" customHeight="true" outlineLevel="0" collapsed="false">
      <c r="A32" s="1"/>
      <c r="B32" s="57"/>
      <c r="C32" s="57"/>
      <c r="D32" s="57"/>
      <c r="E32" s="40"/>
      <c r="F32" s="40"/>
      <c r="G32" s="40"/>
      <c r="H32" s="40"/>
      <c r="I32" s="40"/>
      <c r="J32" s="40"/>
      <c r="K32" s="40"/>
      <c r="L32" s="40"/>
      <c r="M32" s="40"/>
    </row>
    <row r="33" customFormat="false" ht="13.5" hidden="false" customHeight="true" outlineLevel="0" collapsed="false">
      <c r="A33" s="1"/>
      <c r="B33" s="46" t="s">
        <v>100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customFormat="false" ht="21" hidden="false" customHeight="true" outlineLevel="0" collapsed="false">
      <c r="A34" s="1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customFormat="false" ht="7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9.5" hidden="false" customHeight="true" outlineLevel="0" collapsed="false">
      <c r="A36" s="1"/>
      <c r="B36" s="44" t="s">
        <v>114</v>
      </c>
      <c r="C36" s="45" t="s">
        <v>142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customFormat="false" ht="13.5" hidden="false" customHeight="true" outlineLevel="0" collapsed="false">
      <c r="A37" s="1"/>
      <c r="B37" s="46" t="s">
        <v>143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customFormat="false" ht="36" hidden="false" customHeight="true" outlineLevel="0" collapsed="false">
      <c r="A38" s="1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customFormat="false" ht="13.5" hidden="false" customHeight="true" outlineLevel="0" collapsed="false">
      <c r="A39" s="1"/>
      <c r="B39" s="46" t="s">
        <v>116</v>
      </c>
      <c r="C39" s="46"/>
      <c r="D39" s="46"/>
      <c r="E39" s="46"/>
      <c r="F39" s="46"/>
      <c r="G39" s="46"/>
      <c r="H39" s="46" t="s">
        <v>117</v>
      </c>
      <c r="I39" s="46"/>
      <c r="J39" s="46"/>
      <c r="K39" s="46" t="s">
        <v>144</v>
      </c>
      <c r="L39" s="46"/>
      <c r="M39" s="46"/>
    </row>
    <row r="40" customFormat="false" ht="21" hidden="false" customHeight="true" outlineLevel="0" collapsed="false">
      <c r="A40" s="1"/>
      <c r="B40" s="40"/>
      <c r="C40" s="40"/>
      <c r="D40" s="40"/>
      <c r="E40" s="40"/>
      <c r="F40" s="40"/>
      <c r="G40" s="40"/>
      <c r="H40" s="47"/>
      <c r="I40" s="47"/>
      <c r="J40" s="47"/>
      <c r="K40" s="47"/>
      <c r="L40" s="47"/>
      <c r="M40" s="47"/>
    </row>
    <row r="41" customFormat="false" ht="9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3.5" hidden="false" customHeight="true" outlineLevel="0" collapsed="false">
      <c r="A42" s="1"/>
      <c r="B42" s="55" t="s">
        <v>145</v>
      </c>
      <c r="C42" s="55"/>
      <c r="D42" s="55"/>
      <c r="E42" s="55"/>
      <c r="F42" s="55"/>
      <c r="G42" s="55"/>
      <c r="H42" s="55"/>
      <c r="I42" s="56" t="s">
        <v>119</v>
      </c>
      <c r="J42" s="56"/>
      <c r="K42" s="56"/>
      <c r="L42" s="56"/>
      <c r="M42" s="56"/>
    </row>
  </sheetData>
  <mergeCells count="58">
    <mergeCell ref="K1:M1"/>
    <mergeCell ref="B2:I2"/>
    <mergeCell ref="L2:M2"/>
    <mergeCell ref="B3:I3"/>
    <mergeCell ref="L3:M3"/>
    <mergeCell ref="B5:M5"/>
    <mergeCell ref="B6:M6"/>
    <mergeCell ref="C8:M8"/>
    <mergeCell ref="B9:G9"/>
    <mergeCell ref="H9:M9"/>
    <mergeCell ref="B10:G10"/>
    <mergeCell ref="H10:M10"/>
    <mergeCell ref="B11:G11"/>
    <mergeCell ref="H11:J11"/>
    <mergeCell ref="K11:M11"/>
    <mergeCell ref="B12:G12"/>
    <mergeCell ref="H12:J12"/>
    <mergeCell ref="K12:M12"/>
    <mergeCell ref="C14:M14"/>
    <mergeCell ref="B15:I15"/>
    <mergeCell ref="J15:M15"/>
    <mergeCell ref="B16:I16"/>
    <mergeCell ref="J16:M16"/>
    <mergeCell ref="B17:M17"/>
    <mergeCell ref="B18:M18"/>
    <mergeCell ref="B19:M19"/>
    <mergeCell ref="B20:M20"/>
    <mergeCell ref="C22:M22"/>
    <mergeCell ref="B23:H23"/>
    <mergeCell ref="I23:M23"/>
    <mergeCell ref="B24:H24"/>
    <mergeCell ref="I24:M24"/>
    <mergeCell ref="B25:M25"/>
    <mergeCell ref="B26:M26"/>
    <mergeCell ref="B27:J27"/>
    <mergeCell ref="K27:M27"/>
    <mergeCell ref="B28:J28"/>
    <mergeCell ref="K28:M28"/>
    <mergeCell ref="C30:M30"/>
    <mergeCell ref="B31:D31"/>
    <mergeCell ref="E31:G31"/>
    <mergeCell ref="H31:M31"/>
    <mergeCell ref="B32:D32"/>
    <mergeCell ref="E32:G32"/>
    <mergeCell ref="H32:M32"/>
    <mergeCell ref="B33:M33"/>
    <mergeCell ref="B34:M34"/>
    <mergeCell ref="C36:M36"/>
    <mergeCell ref="B37:M37"/>
    <mergeCell ref="B38:M38"/>
    <mergeCell ref="B39:G39"/>
    <mergeCell ref="H39:J39"/>
    <mergeCell ref="K39:M39"/>
    <mergeCell ref="B40:G40"/>
    <mergeCell ref="H40:J40"/>
    <mergeCell ref="K40:M40"/>
    <mergeCell ref="B42:H42"/>
    <mergeCell ref="I42:M42"/>
  </mergeCells>
  <dataValidations count="5"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B32" type="decimal">
      <formula1>0</formula1>
      <formula2>0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K12 K28 H40 K40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20" type="list">
      <formula1>Listas!$C$2:$C$6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26" type="list">
      <formula1>Listas!$D$2:$D$4</formula1>
      <formula2>0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E32" type="list">
      <formula1>Listas!$A$2:$A$11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F02 · Ficha de identificação do resíduo · Modelo interno v1.0&amp;R&amp;"Arial,Regular"&amp;7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06C"/>
    <pageSetUpPr fitToPage="tru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33" t="s">
        <v>146</v>
      </c>
      <c r="C2" s="33"/>
      <c r="D2" s="33"/>
      <c r="E2" s="33"/>
      <c r="F2" s="33"/>
      <c r="G2" s="33"/>
      <c r="H2" s="33"/>
      <c r="I2" s="33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37" t="s">
        <v>39</v>
      </c>
      <c r="C3" s="37"/>
      <c r="D3" s="37"/>
      <c r="E3" s="37"/>
      <c r="F3" s="37"/>
      <c r="G3" s="37"/>
      <c r="H3" s="37"/>
      <c r="I3" s="37"/>
      <c r="J3" s="38" t="s">
        <v>38</v>
      </c>
      <c r="K3" s="39" t="s">
        <v>84</v>
      </c>
      <c r="L3" s="40"/>
      <c r="M3" s="40"/>
    </row>
    <row r="4" customFormat="false" ht="6" hidden="false" customHeight="true" outlineLevel="0" collapsed="false">
      <c r="A4" s="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customFormat="false" ht="15.75" hidden="false" customHeight="true" outlineLevel="0" collapsed="false">
      <c r="A5" s="1"/>
      <c r="B5" s="42" t="s">
        <v>147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43" t="s">
        <v>148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44" t="s">
        <v>87</v>
      </c>
      <c r="C8" s="45" t="s">
        <v>149</v>
      </c>
      <c r="D8" s="45"/>
      <c r="E8" s="45"/>
      <c r="F8" s="45"/>
      <c r="G8" s="45"/>
      <c r="H8" s="45"/>
      <c r="I8" s="45"/>
      <c r="J8" s="45"/>
      <c r="K8" s="45"/>
      <c r="L8" s="45"/>
      <c r="M8" s="45"/>
    </row>
    <row r="9" customFormat="false" ht="13.5" hidden="false" customHeight="true" outlineLevel="0" collapsed="false">
      <c r="A9" s="1"/>
      <c r="B9" s="46" t="s">
        <v>150</v>
      </c>
      <c r="C9" s="46"/>
      <c r="D9" s="46"/>
      <c r="E9" s="46"/>
      <c r="F9" s="46"/>
      <c r="G9" s="46"/>
      <c r="H9" s="46" t="s">
        <v>151</v>
      </c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152</v>
      </c>
      <c r="C11" s="46"/>
      <c r="D11" s="46"/>
      <c r="E11" s="46"/>
      <c r="F11" s="46"/>
      <c r="G11" s="46"/>
      <c r="H11" s="46" t="s">
        <v>153</v>
      </c>
      <c r="I11" s="46"/>
      <c r="J11" s="46"/>
      <c r="K11" s="46" t="s">
        <v>128</v>
      </c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7"/>
      <c r="L12" s="47"/>
      <c r="M12" s="47"/>
    </row>
    <row r="13" customFormat="false" ht="7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9.5" hidden="false" customHeight="true" outlineLevel="0" collapsed="false">
      <c r="A14" s="1"/>
      <c r="B14" s="44" t="s">
        <v>94</v>
      </c>
      <c r="C14" s="45" t="s">
        <v>154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customFormat="false" ht="25.5" hidden="false" customHeight="true" outlineLevel="0" collapsed="false">
      <c r="A15" s="1"/>
      <c r="B15" s="48" t="s">
        <v>96</v>
      </c>
      <c r="C15" s="49" t="s">
        <v>155</v>
      </c>
      <c r="D15" s="49"/>
      <c r="E15" s="49"/>
      <c r="F15" s="49"/>
      <c r="G15" s="48" t="s">
        <v>156</v>
      </c>
      <c r="H15" s="49" t="s">
        <v>99</v>
      </c>
      <c r="I15" s="49"/>
      <c r="J15" s="49" t="s">
        <v>157</v>
      </c>
      <c r="K15" s="49"/>
      <c r="L15" s="49" t="s">
        <v>143</v>
      </c>
      <c r="M15" s="49"/>
    </row>
    <row r="16" customFormat="false" ht="19.5" hidden="false" customHeight="true" outlineLevel="0" collapsed="false">
      <c r="A16" s="1"/>
      <c r="B16" s="50" t="n">
        <v>1</v>
      </c>
      <c r="C16" s="51"/>
      <c r="D16" s="51"/>
      <c r="E16" s="51"/>
      <c r="F16" s="51"/>
      <c r="G16" s="52"/>
      <c r="H16" s="51"/>
      <c r="I16" s="51"/>
      <c r="J16" s="51"/>
      <c r="K16" s="51"/>
      <c r="L16" s="51"/>
      <c r="M16" s="51"/>
    </row>
    <row r="17" customFormat="false" ht="19.5" hidden="false" customHeight="true" outlineLevel="0" collapsed="false">
      <c r="A17" s="1"/>
      <c r="B17" s="50" t="n">
        <v>2</v>
      </c>
      <c r="C17" s="51"/>
      <c r="D17" s="51"/>
      <c r="E17" s="51"/>
      <c r="F17" s="51"/>
      <c r="G17" s="52"/>
      <c r="H17" s="51"/>
      <c r="I17" s="51"/>
      <c r="J17" s="51"/>
      <c r="K17" s="51"/>
      <c r="L17" s="51"/>
      <c r="M17" s="51"/>
    </row>
    <row r="18" customFormat="false" ht="19.5" hidden="false" customHeight="true" outlineLevel="0" collapsed="false">
      <c r="A18" s="1"/>
      <c r="B18" s="50" t="n">
        <v>3</v>
      </c>
      <c r="C18" s="51"/>
      <c r="D18" s="51"/>
      <c r="E18" s="51"/>
      <c r="F18" s="51"/>
      <c r="G18" s="52"/>
      <c r="H18" s="51"/>
      <c r="I18" s="51"/>
      <c r="J18" s="51"/>
      <c r="K18" s="51"/>
      <c r="L18" s="51"/>
      <c r="M18" s="51"/>
    </row>
    <row r="19" customFormat="false" ht="19.5" hidden="false" customHeight="true" outlineLevel="0" collapsed="false">
      <c r="A19" s="1"/>
      <c r="B19" s="50" t="n">
        <v>4</v>
      </c>
      <c r="C19" s="51"/>
      <c r="D19" s="51"/>
      <c r="E19" s="51"/>
      <c r="F19" s="51"/>
      <c r="G19" s="52"/>
      <c r="H19" s="51"/>
      <c r="I19" s="51"/>
      <c r="J19" s="51"/>
      <c r="K19" s="51"/>
      <c r="L19" s="51"/>
      <c r="M19" s="51"/>
    </row>
    <row r="20" customFormat="false" ht="19.5" hidden="false" customHeight="true" outlineLevel="0" collapsed="false">
      <c r="A20" s="1"/>
      <c r="B20" s="50" t="n">
        <v>5</v>
      </c>
      <c r="C20" s="51"/>
      <c r="D20" s="51"/>
      <c r="E20" s="51"/>
      <c r="F20" s="51"/>
      <c r="G20" s="52"/>
      <c r="H20" s="51"/>
      <c r="I20" s="51"/>
      <c r="J20" s="51"/>
      <c r="K20" s="51"/>
      <c r="L20" s="51"/>
      <c r="M20" s="51"/>
    </row>
    <row r="21" customFormat="false" ht="19.5" hidden="false" customHeight="true" outlineLevel="0" collapsed="false">
      <c r="A21" s="1"/>
      <c r="B21" s="50" t="n">
        <v>6</v>
      </c>
      <c r="C21" s="51"/>
      <c r="D21" s="51"/>
      <c r="E21" s="51"/>
      <c r="F21" s="51"/>
      <c r="G21" s="52"/>
      <c r="H21" s="51"/>
      <c r="I21" s="51"/>
      <c r="J21" s="51"/>
      <c r="K21" s="51"/>
      <c r="L21" s="51"/>
      <c r="M21" s="51"/>
    </row>
    <row r="22" customFormat="false" ht="19.5" hidden="false" customHeight="true" outlineLevel="0" collapsed="false">
      <c r="A22" s="1"/>
      <c r="B22" s="50" t="n">
        <v>7</v>
      </c>
      <c r="C22" s="51"/>
      <c r="D22" s="51"/>
      <c r="E22" s="51"/>
      <c r="F22" s="51"/>
      <c r="G22" s="52"/>
      <c r="H22" s="51"/>
      <c r="I22" s="51"/>
      <c r="J22" s="51"/>
      <c r="K22" s="51"/>
      <c r="L22" s="51"/>
      <c r="M22" s="51"/>
    </row>
    <row r="23" customFormat="false" ht="19.5" hidden="false" customHeight="true" outlineLevel="0" collapsed="false">
      <c r="A23" s="1"/>
      <c r="B23" s="50" t="n">
        <v>8</v>
      </c>
      <c r="C23" s="51"/>
      <c r="D23" s="51"/>
      <c r="E23" s="51"/>
      <c r="F23" s="51"/>
      <c r="G23" s="52"/>
      <c r="H23" s="51"/>
      <c r="I23" s="51"/>
      <c r="J23" s="51"/>
      <c r="K23" s="51"/>
      <c r="L23" s="51"/>
      <c r="M23" s="51"/>
    </row>
    <row r="24" customFormat="false" ht="19.5" hidden="false" customHeight="true" outlineLevel="0" collapsed="false">
      <c r="A24" s="1"/>
      <c r="B24" s="50" t="n">
        <v>9</v>
      </c>
      <c r="C24" s="51"/>
      <c r="D24" s="51"/>
      <c r="E24" s="51"/>
      <c r="F24" s="51"/>
      <c r="G24" s="52"/>
      <c r="H24" s="51"/>
      <c r="I24" s="51"/>
      <c r="J24" s="51"/>
      <c r="K24" s="51"/>
      <c r="L24" s="51"/>
      <c r="M24" s="51"/>
    </row>
    <row r="25" customFormat="false" ht="19.5" hidden="false" customHeight="true" outlineLevel="0" collapsed="false">
      <c r="A25" s="1"/>
      <c r="B25" s="50" t="n">
        <v>10</v>
      </c>
      <c r="C25" s="51"/>
      <c r="D25" s="51"/>
      <c r="E25" s="51"/>
      <c r="F25" s="51"/>
      <c r="G25" s="52"/>
      <c r="H25" s="51"/>
      <c r="I25" s="51"/>
      <c r="J25" s="51"/>
      <c r="K25" s="51"/>
      <c r="L25" s="51"/>
      <c r="M25" s="51"/>
    </row>
    <row r="26" customFormat="false" ht="19.5" hidden="false" customHeight="true" outlineLevel="0" collapsed="false">
      <c r="A26" s="1"/>
      <c r="B26" s="50" t="n">
        <v>11</v>
      </c>
      <c r="C26" s="51"/>
      <c r="D26" s="51"/>
      <c r="E26" s="51"/>
      <c r="F26" s="51"/>
      <c r="G26" s="52"/>
      <c r="H26" s="51"/>
      <c r="I26" s="51"/>
      <c r="J26" s="51"/>
      <c r="K26" s="51"/>
      <c r="L26" s="51"/>
      <c r="M26" s="51"/>
    </row>
    <row r="27" customFormat="false" ht="19.5" hidden="false" customHeight="true" outlineLevel="0" collapsed="false">
      <c r="A27" s="1"/>
      <c r="B27" s="50" t="n">
        <v>12</v>
      </c>
      <c r="C27" s="51"/>
      <c r="D27" s="51"/>
      <c r="E27" s="51"/>
      <c r="F27" s="51"/>
      <c r="G27" s="52"/>
      <c r="H27" s="51"/>
      <c r="I27" s="51"/>
      <c r="J27" s="51"/>
      <c r="K27" s="51"/>
      <c r="L27" s="51"/>
      <c r="M27" s="51"/>
    </row>
    <row r="28" customFormat="false" ht="19.5" hidden="false" customHeight="true" outlineLevel="0" collapsed="false">
      <c r="A28" s="1"/>
      <c r="B28" s="50" t="n">
        <v>13</v>
      </c>
      <c r="C28" s="51"/>
      <c r="D28" s="51"/>
      <c r="E28" s="51"/>
      <c r="F28" s="51"/>
      <c r="G28" s="52"/>
      <c r="H28" s="51"/>
      <c r="I28" s="51"/>
      <c r="J28" s="51"/>
      <c r="K28" s="51"/>
      <c r="L28" s="51"/>
      <c r="M28" s="51"/>
    </row>
    <row r="29" customFormat="false" ht="19.5" hidden="false" customHeight="true" outlineLevel="0" collapsed="false">
      <c r="A29" s="1"/>
      <c r="B29" s="50" t="n">
        <v>14</v>
      </c>
      <c r="C29" s="51"/>
      <c r="D29" s="51"/>
      <c r="E29" s="51"/>
      <c r="F29" s="51"/>
      <c r="G29" s="52"/>
      <c r="H29" s="51"/>
      <c r="I29" s="51"/>
      <c r="J29" s="51"/>
      <c r="K29" s="51"/>
      <c r="L29" s="51"/>
      <c r="M29" s="51"/>
    </row>
    <row r="30" customFormat="false" ht="24" hidden="false" customHeight="true" outlineLevel="0" collapsed="false">
      <c r="A30" s="1"/>
      <c r="B30" s="53" t="s">
        <v>158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customFormat="false" ht="7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9.5" hidden="false" customHeight="true" outlineLevel="0" collapsed="false">
      <c r="A32" s="1"/>
      <c r="B32" s="44" t="s">
        <v>102</v>
      </c>
      <c r="C32" s="45" t="s">
        <v>159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customFormat="false" ht="13.5" hidden="false" customHeight="true" outlineLevel="0" collapsed="false">
      <c r="A33" s="1"/>
      <c r="B33" s="46" t="s">
        <v>160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customFormat="false" ht="51" hidden="false" customHeight="true" outlineLevel="0" collapsed="false">
      <c r="A34" s="1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customFormat="false" ht="13.5" hidden="false" customHeight="true" outlineLevel="0" collapsed="false">
      <c r="A35" s="1"/>
      <c r="B35" s="46" t="s">
        <v>161</v>
      </c>
      <c r="C35" s="46"/>
      <c r="D35" s="46"/>
      <c r="E35" s="46"/>
      <c r="F35" s="46"/>
      <c r="G35" s="46"/>
      <c r="H35" s="46" t="s">
        <v>162</v>
      </c>
      <c r="I35" s="46"/>
      <c r="J35" s="46"/>
      <c r="K35" s="1"/>
      <c r="L35" s="1"/>
      <c r="M35" s="1"/>
    </row>
    <row r="36" customFormat="false" ht="21" hidden="false" customHeight="true" outlineLevel="0" collapsed="false">
      <c r="A36" s="1"/>
      <c r="B36" s="40"/>
      <c r="C36" s="40"/>
      <c r="D36" s="40"/>
      <c r="E36" s="40"/>
      <c r="F36" s="40"/>
      <c r="G36" s="40"/>
      <c r="H36" s="47"/>
      <c r="I36" s="47"/>
      <c r="J36" s="47"/>
      <c r="K36" s="1"/>
      <c r="L36" s="1"/>
      <c r="M36" s="1"/>
    </row>
    <row r="37" customFormat="false" ht="9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3.5" hidden="false" customHeight="true" outlineLevel="0" collapsed="false">
      <c r="A38" s="1"/>
      <c r="B38" s="55" t="s">
        <v>163</v>
      </c>
      <c r="C38" s="55"/>
      <c r="D38" s="55"/>
      <c r="E38" s="55"/>
      <c r="F38" s="55"/>
      <c r="G38" s="55"/>
      <c r="H38" s="55"/>
      <c r="I38" s="56" t="s">
        <v>119</v>
      </c>
      <c r="J38" s="56"/>
      <c r="K38" s="56"/>
      <c r="L38" s="56"/>
      <c r="M38" s="56"/>
    </row>
  </sheetData>
  <mergeCells count="89">
    <mergeCell ref="K1:M1"/>
    <mergeCell ref="B2:I2"/>
    <mergeCell ref="L2:M2"/>
    <mergeCell ref="B3:I3"/>
    <mergeCell ref="L3:M3"/>
    <mergeCell ref="B5:M5"/>
    <mergeCell ref="B6:M6"/>
    <mergeCell ref="C8:M8"/>
    <mergeCell ref="B9:G9"/>
    <mergeCell ref="H9:M9"/>
    <mergeCell ref="B10:G10"/>
    <mergeCell ref="H10:M10"/>
    <mergeCell ref="B11:G11"/>
    <mergeCell ref="H11:J11"/>
    <mergeCell ref="K11:M11"/>
    <mergeCell ref="B12:G12"/>
    <mergeCell ref="H12:J12"/>
    <mergeCell ref="K12:M12"/>
    <mergeCell ref="C14:M14"/>
    <mergeCell ref="C15:F15"/>
    <mergeCell ref="H15:I15"/>
    <mergeCell ref="J15:K15"/>
    <mergeCell ref="L15:M15"/>
    <mergeCell ref="C16:F16"/>
    <mergeCell ref="H16:I16"/>
    <mergeCell ref="J16:K16"/>
    <mergeCell ref="L16:M16"/>
    <mergeCell ref="C17:F17"/>
    <mergeCell ref="H17:I17"/>
    <mergeCell ref="J17:K17"/>
    <mergeCell ref="L17:M17"/>
    <mergeCell ref="C18:F18"/>
    <mergeCell ref="H18:I18"/>
    <mergeCell ref="J18:K18"/>
    <mergeCell ref="L18:M18"/>
    <mergeCell ref="C19:F19"/>
    <mergeCell ref="H19:I19"/>
    <mergeCell ref="J19:K19"/>
    <mergeCell ref="L19:M19"/>
    <mergeCell ref="C20:F20"/>
    <mergeCell ref="H20:I20"/>
    <mergeCell ref="J20:K20"/>
    <mergeCell ref="L20:M20"/>
    <mergeCell ref="C21:F21"/>
    <mergeCell ref="H21:I21"/>
    <mergeCell ref="J21:K21"/>
    <mergeCell ref="L21:M21"/>
    <mergeCell ref="C22:F22"/>
    <mergeCell ref="H22:I22"/>
    <mergeCell ref="J22:K22"/>
    <mergeCell ref="L22:M22"/>
    <mergeCell ref="C23:F23"/>
    <mergeCell ref="H23:I23"/>
    <mergeCell ref="J23:K23"/>
    <mergeCell ref="L23:M23"/>
    <mergeCell ref="C24:F24"/>
    <mergeCell ref="H24:I24"/>
    <mergeCell ref="J24:K24"/>
    <mergeCell ref="L24:M24"/>
    <mergeCell ref="C25:F25"/>
    <mergeCell ref="H25:I25"/>
    <mergeCell ref="J25:K25"/>
    <mergeCell ref="L25:M25"/>
    <mergeCell ref="C26:F26"/>
    <mergeCell ref="H26:I26"/>
    <mergeCell ref="J26:K26"/>
    <mergeCell ref="L26:M26"/>
    <mergeCell ref="C27:F27"/>
    <mergeCell ref="H27:I27"/>
    <mergeCell ref="J27:K27"/>
    <mergeCell ref="L27:M27"/>
    <mergeCell ref="C28:F28"/>
    <mergeCell ref="H28:I28"/>
    <mergeCell ref="J28:K28"/>
    <mergeCell ref="L28:M28"/>
    <mergeCell ref="C29:F29"/>
    <mergeCell ref="H29:I29"/>
    <mergeCell ref="J29:K29"/>
    <mergeCell ref="L29:M29"/>
    <mergeCell ref="B30:M30"/>
    <mergeCell ref="C32:M32"/>
    <mergeCell ref="B33:M33"/>
    <mergeCell ref="B34:M34"/>
    <mergeCell ref="B35:G35"/>
    <mergeCell ref="H35:J35"/>
    <mergeCell ref="B36:G36"/>
    <mergeCell ref="H36:J36"/>
    <mergeCell ref="B38:H38"/>
    <mergeCell ref="I38:M38"/>
  </mergeCells>
  <dataValidations count="4"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G16:G29" type="decimal">
      <formula1>0</formula1>
      <formula2>0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K12 H36" type="date">
      <formula1>DATE(2000,1,1)</formula1>
      <formula2>DATE(2100,12,31)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H16:H29" type="list">
      <formula1>Listas!$A$2:$A$11</formula1>
      <formula2>0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J16:J29" type="list">
      <formula1>Listas!$E$2:$E$6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F03 · Levantamento de quantidades de resíduos · Modelo interno v1.0&amp;R&amp;"Arial,Regular"&amp;7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06C"/>
    <pageSetUpPr fitToPage="tru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33" t="s">
        <v>164</v>
      </c>
      <c r="C2" s="33"/>
      <c r="D2" s="33"/>
      <c r="E2" s="33"/>
      <c r="F2" s="33"/>
      <c r="G2" s="33"/>
      <c r="H2" s="33"/>
      <c r="I2" s="33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37" t="s">
        <v>42</v>
      </c>
      <c r="C3" s="37"/>
      <c r="D3" s="37"/>
      <c r="E3" s="37"/>
      <c r="F3" s="37"/>
      <c r="G3" s="37"/>
      <c r="H3" s="37"/>
      <c r="I3" s="37"/>
      <c r="J3" s="38" t="s">
        <v>41</v>
      </c>
      <c r="K3" s="39" t="s">
        <v>84</v>
      </c>
      <c r="L3" s="40"/>
      <c r="M3" s="40"/>
    </row>
    <row r="4" customFormat="false" ht="6" hidden="false" customHeight="true" outlineLevel="0" collapsed="false">
      <c r="A4" s="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customFormat="false" ht="15.75" hidden="false" customHeight="true" outlineLevel="0" collapsed="false">
      <c r="A5" s="1"/>
      <c r="B5" s="42" t="s">
        <v>165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43" t="s">
        <v>166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44" t="s">
        <v>87</v>
      </c>
      <c r="C8" s="45" t="s">
        <v>167</v>
      </c>
      <c r="D8" s="45"/>
      <c r="E8" s="45"/>
      <c r="F8" s="45"/>
      <c r="G8" s="45"/>
      <c r="H8" s="45"/>
      <c r="I8" s="45"/>
      <c r="J8" s="45"/>
      <c r="K8" s="45"/>
      <c r="L8" s="45"/>
      <c r="M8" s="45"/>
    </row>
    <row r="9" customFormat="false" ht="13.5" hidden="false" customHeight="true" outlineLevel="0" collapsed="false">
      <c r="A9" s="1"/>
      <c r="B9" s="46" t="s">
        <v>168</v>
      </c>
      <c r="C9" s="46"/>
      <c r="D9" s="46"/>
      <c r="E9" s="46"/>
      <c r="F9" s="46"/>
      <c r="G9" s="46"/>
      <c r="H9" s="46" t="s">
        <v>169</v>
      </c>
      <c r="I9" s="46"/>
      <c r="J9" s="46"/>
      <c r="K9" s="46" t="s">
        <v>170</v>
      </c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7"/>
      <c r="L10" s="47"/>
      <c r="M10" s="47"/>
    </row>
    <row r="11" customFormat="false" ht="13.5" hidden="false" customHeight="true" outlineLevel="0" collapsed="false">
      <c r="A11" s="1"/>
      <c r="B11" s="46" t="s">
        <v>171</v>
      </c>
      <c r="C11" s="46"/>
      <c r="D11" s="46"/>
      <c r="E11" s="46"/>
      <c r="F11" s="46"/>
      <c r="G11" s="46"/>
      <c r="H11" s="46"/>
      <c r="I11" s="46"/>
      <c r="J11" s="46"/>
      <c r="K11" s="46" t="s">
        <v>172</v>
      </c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58"/>
      <c r="L12" s="58"/>
      <c r="M12" s="58"/>
    </row>
    <row r="13" customFormat="false" ht="7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9.5" hidden="false" customHeight="true" outlineLevel="0" collapsed="false">
      <c r="A14" s="1"/>
      <c r="B14" s="44" t="s">
        <v>94</v>
      </c>
      <c r="C14" s="45" t="s">
        <v>173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customFormat="false" ht="25.5" hidden="false" customHeight="true" outlineLevel="0" collapsed="false">
      <c r="A15" s="1"/>
      <c r="B15" s="48" t="s">
        <v>96</v>
      </c>
      <c r="C15" s="49" t="s">
        <v>174</v>
      </c>
      <c r="D15" s="49"/>
      <c r="E15" s="49" t="s">
        <v>175</v>
      </c>
      <c r="F15" s="49"/>
      <c r="G15" s="48" t="s">
        <v>176</v>
      </c>
      <c r="H15" s="48"/>
      <c r="I15" s="48" t="s">
        <v>177</v>
      </c>
      <c r="J15" s="48"/>
      <c r="K15" s="49" t="s">
        <v>178</v>
      </c>
      <c r="L15" s="49"/>
      <c r="M15" s="49"/>
    </row>
    <row r="16" customFormat="false" ht="19.5" hidden="false" customHeight="true" outlineLevel="0" collapsed="false">
      <c r="A16" s="1"/>
      <c r="B16" s="50" t="n">
        <v>1</v>
      </c>
      <c r="C16" s="51"/>
      <c r="D16" s="51"/>
      <c r="E16" s="51"/>
      <c r="F16" s="51"/>
      <c r="G16" s="59"/>
      <c r="H16" s="59"/>
      <c r="I16" s="59"/>
      <c r="J16" s="59"/>
      <c r="K16" s="51"/>
      <c r="L16" s="51"/>
      <c r="M16" s="51"/>
    </row>
    <row r="17" customFormat="false" ht="19.5" hidden="false" customHeight="true" outlineLevel="0" collapsed="false">
      <c r="A17" s="1"/>
      <c r="B17" s="50" t="n">
        <v>2</v>
      </c>
      <c r="C17" s="51"/>
      <c r="D17" s="51"/>
      <c r="E17" s="51"/>
      <c r="F17" s="51"/>
      <c r="G17" s="59"/>
      <c r="H17" s="59"/>
      <c r="I17" s="59"/>
      <c r="J17" s="59"/>
      <c r="K17" s="51"/>
      <c r="L17" s="51"/>
      <c r="M17" s="51"/>
    </row>
    <row r="18" customFormat="false" ht="19.5" hidden="false" customHeight="true" outlineLevel="0" collapsed="false">
      <c r="A18" s="1"/>
      <c r="B18" s="50" t="n">
        <v>3</v>
      </c>
      <c r="C18" s="51"/>
      <c r="D18" s="51"/>
      <c r="E18" s="51"/>
      <c r="F18" s="51"/>
      <c r="G18" s="59"/>
      <c r="H18" s="59"/>
      <c r="I18" s="59"/>
      <c r="J18" s="59"/>
      <c r="K18" s="51"/>
      <c r="L18" s="51"/>
      <c r="M18" s="51"/>
    </row>
    <row r="19" customFormat="false" ht="19.5" hidden="false" customHeight="true" outlineLevel="0" collapsed="false">
      <c r="A19" s="1"/>
      <c r="B19" s="50" t="n">
        <v>4</v>
      </c>
      <c r="C19" s="51"/>
      <c r="D19" s="51"/>
      <c r="E19" s="51"/>
      <c r="F19" s="51"/>
      <c r="G19" s="59"/>
      <c r="H19" s="59"/>
      <c r="I19" s="59"/>
      <c r="J19" s="59"/>
      <c r="K19" s="51"/>
      <c r="L19" s="51"/>
      <c r="M19" s="51"/>
    </row>
    <row r="20" customFormat="false" ht="19.5" hidden="false" customHeight="true" outlineLevel="0" collapsed="false">
      <c r="A20" s="1"/>
      <c r="B20" s="50" t="n">
        <v>5</v>
      </c>
      <c r="C20" s="51"/>
      <c r="D20" s="51"/>
      <c r="E20" s="51"/>
      <c r="F20" s="51"/>
      <c r="G20" s="59"/>
      <c r="H20" s="59"/>
      <c r="I20" s="59"/>
      <c r="J20" s="59"/>
      <c r="K20" s="51"/>
      <c r="L20" s="51"/>
      <c r="M20" s="51"/>
    </row>
    <row r="21" customFormat="false" ht="19.5" hidden="false" customHeight="true" outlineLevel="0" collapsed="false">
      <c r="A21" s="1"/>
      <c r="B21" s="50" t="n">
        <v>6</v>
      </c>
      <c r="C21" s="51"/>
      <c r="D21" s="51"/>
      <c r="E21" s="51"/>
      <c r="F21" s="51"/>
      <c r="G21" s="59"/>
      <c r="H21" s="59"/>
      <c r="I21" s="59"/>
      <c r="J21" s="59"/>
      <c r="K21" s="51"/>
      <c r="L21" s="51"/>
      <c r="M21" s="51"/>
    </row>
    <row r="22" customFormat="false" ht="24" hidden="false" customHeight="true" outlineLevel="0" collapsed="false">
      <c r="A22" s="1"/>
      <c r="B22" s="53" t="s">
        <v>179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customFormat="false" ht="7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9.5" hidden="false" customHeight="true" outlineLevel="0" collapsed="false">
      <c r="A24" s="1"/>
      <c r="B24" s="44" t="s">
        <v>102</v>
      </c>
      <c r="C24" s="45" t="s">
        <v>180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customFormat="false" ht="13.5" hidden="false" customHeight="true" outlineLevel="0" collapsed="false">
      <c r="A25" s="1"/>
      <c r="B25" s="46" t="s">
        <v>181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customFormat="false" ht="51" hidden="false" customHeight="true" outlineLevel="0" collapsed="false">
      <c r="A26" s="1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</row>
    <row r="27" customFormat="false" ht="13.5" hidden="false" customHeight="true" outlineLevel="0" collapsed="false">
      <c r="A27" s="1"/>
      <c r="B27" s="46" t="s">
        <v>143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customFormat="false" ht="36" hidden="false" customHeight="true" outlineLevel="0" collapsed="false">
      <c r="A28" s="1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</row>
    <row r="29" customFormat="false" ht="7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9.5" hidden="false" customHeight="true" outlineLevel="0" collapsed="false">
      <c r="A30" s="1"/>
      <c r="B30" s="44" t="s">
        <v>107</v>
      </c>
      <c r="C30" s="45" t="s">
        <v>182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customFormat="false" ht="13.5" hidden="false" customHeight="true" outlineLevel="0" collapsed="false">
      <c r="A31" s="1"/>
      <c r="B31" s="46" t="s">
        <v>183</v>
      </c>
      <c r="C31" s="46"/>
      <c r="D31" s="46"/>
      <c r="E31" s="46"/>
      <c r="F31" s="46"/>
      <c r="G31" s="46"/>
      <c r="H31" s="46" t="s">
        <v>184</v>
      </c>
      <c r="I31" s="46"/>
      <c r="J31" s="46"/>
      <c r="K31" s="46" t="s">
        <v>185</v>
      </c>
      <c r="L31" s="46"/>
      <c r="M31" s="46"/>
    </row>
    <row r="32" customFormat="false" ht="21" hidden="false" customHeight="true" outlineLevel="0" collapsed="false">
      <c r="A32" s="1"/>
      <c r="B32" s="40"/>
      <c r="C32" s="40"/>
      <c r="D32" s="40"/>
      <c r="E32" s="40"/>
      <c r="F32" s="40"/>
      <c r="G32" s="40"/>
      <c r="H32" s="40"/>
      <c r="I32" s="40"/>
      <c r="J32" s="40"/>
      <c r="K32" s="47"/>
      <c r="L32" s="47"/>
      <c r="M32" s="47"/>
    </row>
    <row r="33" customFormat="false" ht="13.5" hidden="false" customHeight="true" outlineLevel="0" collapsed="false">
      <c r="A33" s="1"/>
      <c r="B33" s="46" t="s">
        <v>186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customFormat="false" ht="21" hidden="false" customHeight="true" outlineLevel="0" collapsed="false">
      <c r="A34" s="1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customFormat="false" ht="13.5" hidden="false" customHeight="true" outlineLevel="0" collapsed="false">
      <c r="A35" s="1"/>
      <c r="B35" s="46" t="s">
        <v>187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customFormat="false" ht="36" hidden="false" customHeight="true" outlineLevel="0" collapsed="false">
      <c r="A36" s="1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customFormat="false" ht="9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3.5" hidden="false" customHeight="true" outlineLevel="0" collapsed="false">
      <c r="A38" s="1"/>
      <c r="B38" s="55" t="s">
        <v>188</v>
      </c>
      <c r="C38" s="55"/>
      <c r="D38" s="55"/>
      <c r="E38" s="55"/>
      <c r="F38" s="55"/>
      <c r="G38" s="55"/>
      <c r="H38" s="55"/>
      <c r="I38" s="56" t="s">
        <v>119</v>
      </c>
      <c r="J38" s="56"/>
      <c r="K38" s="56"/>
      <c r="L38" s="56"/>
      <c r="M38" s="56"/>
    </row>
  </sheetData>
  <mergeCells count="73">
    <mergeCell ref="K1:M1"/>
    <mergeCell ref="B2:I2"/>
    <mergeCell ref="L2:M2"/>
    <mergeCell ref="B3:I3"/>
    <mergeCell ref="L3:M3"/>
    <mergeCell ref="B5:M5"/>
    <mergeCell ref="B6:M6"/>
    <mergeCell ref="C8:M8"/>
    <mergeCell ref="B9:G9"/>
    <mergeCell ref="H9:J9"/>
    <mergeCell ref="K9:M9"/>
    <mergeCell ref="B10:G10"/>
    <mergeCell ref="H10:J10"/>
    <mergeCell ref="K10:M10"/>
    <mergeCell ref="B11:J11"/>
    <mergeCell ref="K11:M11"/>
    <mergeCell ref="B12:J12"/>
    <mergeCell ref="K12:M12"/>
    <mergeCell ref="C14:M14"/>
    <mergeCell ref="C15:D15"/>
    <mergeCell ref="E15:F15"/>
    <mergeCell ref="G15:H15"/>
    <mergeCell ref="I15:J15"/>
    <mergeCell ref="K15:M15"/>
    <mergeCell ref="C16:D16"/>
    <mergeCell ref="E16:F16"/>
    <mergeCell ref="G16:H16"/>
    <mergeCell ref="I16:J16"/>
    <mergeCell ref="K16:M16"/>
    <mergeCell ref="C17:D17"/>
    <mergeCell ref="E17:F17"/>
    <mergeCell ref="G17:H17"/>
    <mergeCell ref="I17:J17"/>
    <mergeCell ref="K17:M17"/>
    <mergeCell ref="C18:D18"/>
    <mergeCell ref="E18:F18"/>
    <mergeCell ref="G18:H18"/>
    <mergeCell ref="I18:J18"/>
    <mergeCell ref="K18:M18"/>
    <mergeCell ref="C19:D19"/>
    <mergeCell ref="E19:F19"/>
    <mergeCell ref="G19:H19"/>
    <mergeCell ref="I19:J19"/>
    <mergeCell ref="K19:M19"/>
    <mergeCell ref="C20:D20"/>
    <mergeCell ref="E20:F20"/>
    <mergeCell ref="G20:H20"/>
    <mergeCell ref="I20:J20"/>
    <mergeCell ref="K20:M20"/>
    <mergeCell ref="C21:D21"/>
    <mergeCell ref="E21:F21"/>
    <mergeCell ref="G21:H21"/>
    <mergeCell ref="I21:J21"/>
    <mergeCell ref="K21:M21"/>
    <mergeCell ref="B22:M22"/>
    <mergeCell ref="C24:M24"/>
    <mergeCell ref="B25:M25"/>
    <mergeCell ref="B26:M26"/>
    <mergeCell ref="B27:M27"/>
    <mergeCell ref="B28:M28"/>
    <mergeCell ref="C30:M30"/>
    <mergeCell ref="B31:G31"/>
    <mergeCell ref="H31:J31"/>
    <mergeCell ref="K31:M31"/>
    <mergeCell ref="B32:G32"/>
    <mergeCell ref="H32:J32"/>
    <mergeCell ref="K32:M32"/>
    <mergeCell ref="B33:M33"/>
    <mergeCell ref="B34:M34"/>
    <mergeCell ref="B35:M35"/>
    <mergeCell ref="B36:M36"/>
    <mergeCell ref="B38:H38"/>
    <mergeCell ref="I38:M38"/>
  </mergeCells>
  <dataValidations count="4"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K10 K32" type="date">
      <formula1>DATE(2000,1,1)</formula1>
      <formula2>DATE(2100,12,31)</formula2>
    </dataValidation>
    <dataValidation allowBlank="false" error="Digite um horário no formato hh:mm, por exemplo 14:30." errorStyle="stop" errorTitle="Horário inválido" operator="between" prompt="Formato hh:mm" promptTitle="Horário" showDropDown="false" showErrorMessage="true" showInputMessage="true" sqref="K12" type="time">
      <formula1>0</formula1>
      <formula2>0.999988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G16:G21 I16:I21" type="list">
      <formula1>Listas!$F$2:$F$4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4" type="list">
      <formula1>Listas!$G$2:$G$6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F04 · Conferência de acondicionamento · Modelo interno v1.0&amp;R&amp;"Arial,Regular"&amp;7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06C"/>
    <pageSetUpPr fitToPage="tru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33" t="s">
        <v>189</v>
      </c>
      <c r="C2" s="33"/>
      <c r="D2" s="33"/>
      <c r="E2" s="33"/>
      <c r="F2" s="33"/>
      <c r="G2" s="33"/>
      <c r="H2" s="33"/>
      <c r="I2" s="33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37" t="s">
        <v>45</v>
      </c>
      <c r="C3" s="37"/>
      <c r="D3" s="37"/>
      <c r="E3" s="37"/>
      <c r="F3" s="37"/>
      <c r="G3" s="37"/>
      <c r="H3" s="37"/>
      <c r="I3" s="37"/>
      <c r="J3" s="38" t="s">
        <v>44</v>
      </c>
      <c r="K3" s="39" t="s">
        <v>84</v>
      </c>
      <c r="L3" s="40"/>
      <c r="M3" s="40"/>
    </row>
    <row r="4" customFormat="false" ht="6" hidden="false" customHeight="true" outlineLevel="0" collapsed="false">
      <c r="A4" s="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customFormat="false" ht="15.75" hidden="false" customHeight="true" outlineLevel="0" collapsed="false">
      <c r="A5" s="1"/>
      <c r="B5" s="42" t="s">
        <v>190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43" t="s">
        <v>191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44" t="s">
        <v>87</v>
      </c>
      <c r="C8" s="45" t="s">
        <v>192</v>
      </c>
      <c r="D8" s="45"/>
      <c r="E8" s="45"/>
      <c r="F8" s="45"/>
      <c r="G8" s="45"/>
      <c r="H8" s="45"/>
      <c r="I8" s="45"/>
      <c r="J8" s="45"/>
      <c r="K8" s="45"/>
      <c r="L8" s="45"/>
      <c r="M8" s="45"/>
    </row>
    <row r="9" customFormat="false" ht="13.5" hidden="false" customHeight="true" outlineLevel="0" collapsed="false">
      <c r="A9" s="1"/>
      <c r="B9" s="46" t="s">
        <v>193</v>
      </c>
      <c r="C9" s="46"/>
      <c r="D9" s="46"/>
      <c r="E9" s="46"/>
      <c r="F9" s="46"/>
      <c r="G9" s="46"/>
      <c r="H9" s="46" t="s">
        <v>194</v>
      </c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195</v>
      </c>
      <c r="C11" s="46"/>
      <c r="D11" s="46"/>
      <c r="E11" s="46" t="s">
        <v>196</v>
      </c>
      <c r="F11" s="46"/>
      <c r="G11" s="46" t="s">
        <v>197</v>
      </c>
      <c r="H11" s="46"/>
      <c r="I11" s="46" t="s">
        <v>198</v>
      </c>
      <c r="J11" s="46"/>
      <c r="K11" s="46"/>
      <c r="L11" s="46"/>
      <c r="M11" s="46"/>
    </row>
    <row r="12" customFormat="false" ht="21" hidden="false" customHeight="true" outlineLevel="0" collapsed="false">
      <c r="A12" s="1"/>
      <c r="B12" s="47"/>
      <c r="C12" s="47"/>
      <c r="D12" s="47"/>
      <c r="E12" s="58"/>
      <c r="F12" s="58"/>
      <c r="G12" s="58"/>
      <c r="H12" s="58"/>
      <c r="I12" s="40"/>
      <c r="J12" s="40"/>
      <c r="K12" s="40"/>
      <c r="L12" s="40"/>
      <c r="M12" s="40"/>
    </row>
    <row r="13" customFormat="false" ht="13.5" hidden="false" customHeight="true" outlineLevel="0" collapsed="false">
      <c r="A13" s="1"/>
      <c r="B13" s="46" t="s">
        <v>199</v>
      </c>
      <c r="C13" s="46"/>
      <c r="D13" s="46"/>
      <c r="E13" s="46"/>
      <c r="F13" s="46"/>
      <c r="G13" s="46"/>
      <c r="H13" s="46" t="s">
        <v>200</v>
      </c>
      <c r="I13" s="46"/>
      <c r="J13" s="46"/>
      <c r="K13" s="46"/>
      <c r="L13" s="46"/>
      <c r="M13" s="46"/>
    </row>
    <row r="14" customFormat="false" ht="21" hidden="false" customHeight="true" outlineLevel="0" collapsed="false">
      <c r="A14" s="1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customFormat="false" ht="7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9.5" hidden="false" customHeight="true" outlineLevel="0" collapsed="false">
      <c r="A16" s="1"/>
      <c r="B16" s="44" t="s">
        <v>94</v>
      </c>
      <c r="C16" s="45" t="s">
        <v>201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customFormat="false" ht="25.5" hidden="false" customHeight="true" outlineLevel="0" collapsed="false">
      <c r="A17" s="1"/>
      <c r="B17" s="48" t="s">
        <v>96</v>
      </c>
      <c r="C17" s="49" t="s">
        <v>202</v>
      </c>
      <c r="D17" s="49"/>
      <c r="E17" s="49"/>
      <c r="F17" s="49"/>
      <c r="G17" s="48" t="s">
        <v>98</v>
      </c>
      <c r="H17" s="48"/>
      <c r="I17" s="49" t="s">
        <v>99</v>
      </c>
      <c r="J17" s="49"/>
      <c r="K17" s="49" t="s">
        <v>203</v>
      </c>
      <c r="L17" s="49"/>
      <c r="M17" s="49"/>
    </row>
    <row r="18" customFormat="false" ht="19.5" hidden="false" customHeight="true" outlineLevel="0" collapsed="false">
      <c r="A18" s="1"/>
      <c r="B18" s="50" t="n">
        <v>1</v>
      </c>
      <c r="C18" s="51"/>
      <c r="D18" s="51"/>
      <c r="E18" s="51"/>
      <c r="F18" s="51"/>
      <c r="G18" s="52"/>
      <c r="H18" s="52"/>
      <c r="I18" s="51"/>
      <c r="J18" s="51"/>
      <c r="K18" s="51"/>
      <c r="L18" s="51"/>
      <c r="M18" s="51"/>
    </row>
    <row r="19" customFormat="false" ht="19.5" hidden="false" customHeight="true" outlineLevel="0" collapsed="false">
      <c r="A19" s="1"/>
      <c r="B19" s="50" t="n">
        <v>2</v>
      </c>
      <c r="C19" s="51"/>
      <c r="D19" s="51"/>
      <c r="E19" s="51"/>
      <c r="F19" s="51"/>
      <c r="G19" s="52"/>
      <c r="H19" s="52"/>
      <c r="I19" s="51"/>
      <c r="J19" s="51"/>
      <c r="K19" s="51"/>
      <c r="L19" s="51"/>
      <c r="M19" s="51"/>
    </row>
    <row r="20" customFormat="false" ht="19.5" hidden="false" customHeight="true" outlineLevel="0" collapsed="false">
      <c r="A20" s="1"/>
      <c r="B20" s="50" t="n">
        <v>3</v>
      </c>
      <c r="C20" s="51"/>
      <c r="D20" s="51"/>
      <c r="E20" s="51"/>
      <c r="F20" s="51"/>
      <c r="G20" s="52"/>
      <c r="H20" s="52"/>
      <c r="I20" s="51"/>
      <c r="J20" s="51"/>
      <c r="K20" s="51"/>
      <c r="L20" s="51"/>
      <c r="M20" s="51"/>
    </row>
    <row r="21" customFormat="false" ht="19.5" hidden="false" customHeight="true" outlineLevel="0" collapsed="false">
      <c r="A21" s="1"/>
      <c r="B21" s="50" t="n">
        <v>4</v>
      </c>
      <c r="C21" s="51"/>
      <c r="D21" s="51"/>
      <c r="E21" s="51"/>
      <c r="F21" s="51"/>
      <c r="G21" s="52"/>
      <c r="H21" s="52"/>
      <c r="I21" s="51"/>
      <c r="J21" s="51"/>
      <c r="K21" s="51"/>
      <c r="L21" s="51"/>
      <c r="M21" s="51"/>
    </row>
    <row r="22" customFormat="false" ht="19.5" hidden="false" customHeight="true" outlineLevel="0" collapsed="false">
      <c r="A22" s="1"/>
      <c r="B22" s="50" t="n">
        <v>5</v>
      </c>
      <c r="C22" s="51"/>
      <c r="D22" s="51"/>
      <c r="E22" s="51"/>
      <c r="F22" s="51"/>
      <c r="G22" s="52"/>
      <c r="H22" s="52"/>
      <c r="I22" s="51"/>
      <c r="J22" s="51"/>
      <c r="K22" s="51"/>
      <c r="L22" s="51"/>
      <c r="M22" s="51"/>
    </row>
    <row r="23" customFormat="false" ht="13.5" hidden="false" customHeight="true" outlineLevel="0" collapsed="false">
      <c r="A23" s="1"/>
      <c r="B23" s="53" t="s">
        <v>101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customFormat="false" ht="7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9.5" hidden="false" customHeight="true" outlineLevel="0" collapsed="false">
      <c r="A25" s="1"/>
      <c r="B25" s="44" t="s">
        <v>102</v>
      </c>
      <c r="C25" s="45" t="s">
        <v>204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customFormat="false" ht="13.5" hidden="false" customHeight="true" outlineLevel="0" collapsed="false">
      <c r="A26" s="1"/>
      <c r="B26" s="46" t="s">
        <v>205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customFormat="false" ht="51" hidden="false" customHeight="true" outlineLevel="0" collapsed="false">
      <c r="A27" s="1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</row>
    <row r="28" customFormat="false" ht="13.5" hidden="false" customHeight="true" outlineLevel="0" collapsed="false">
      <c r="A28" s="1"/>
      <c r="B28" s="46" t="s">
        <v>206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customFormat="false" ht="51" hidden="false" customHeight="true" outlineLevel="0" collapsed="false">
      <c r="A29" s="1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</row>
    <row r="30" customFormat="false" ht="7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9.5" hidden="false" customHeight="true" outlineLevel="0" collapsed="false">
      <c r="A31" s="1"/>
      <c r="B31" s="44" t="s">
        <v>107</v>
      </c>
      <c r="C31" s="45" t="s">
        <v>207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customFormat="false" ht="13.5" hidden="false" customHeight="true" outlineLevel="0" collapsed="false">
      <c r="A32" s="1"/>
      <c r="B32" s="46" t="s">
        <v>208</v>
      </c>
      <c r="C32" s="46"/>
      <c r="D32" s="46"/>
      <c r="E32" s="46"/>
      <c r="F32" s="46"/>
      <c r="G32" s="46"/>
      <c r="H32" s="46" t="s">
        <v>209</v>
      </c>
      <c r="I32" s="46"/>
      <c r="J32" s="46"/>
      <c r="K32" s="46"/>
      <c r="L32" s="46"/>
      <c r="M32" s="46"/>
    </row>
    <row r="33" customFormat="false" ht="21" hidden="false" customHeight="true" outlineLevel="0" collapsed="false">
      <c r="A33" s="1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customFormat="false" ht="13.5" hidden="false" customHeight="true" outlineLevel="0" collapsed="false">
      <c r="A34" s="1"/>
      <c r="B34" s="46" t="s">
        <v>210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customFormat="false" ht="21" hidden="false" customHeight="true" outlineLevel="0" collapsed="false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customFormat="false" ht="13.5" hidden="false" customHeight="true" outlineLevel="0" collapsed="false">
      <c r="A36" s="1"/>
      <c r="B36" s="46" t="s">
        <v>211</v>
      </c>
      <c r="C36" s="46"/>
      <c r="D36" s="46"/>
      <c r="E36" s="46" t="s">
        <v>143</v>
      </c>
      <c r="F36" s="46"/>
      <c r="G36" s="46"/>
      <c r="H36" s="46"/>
      <c r="I36" s="46"/>
      <c r="J36" s="46"/>
      <c r="K36" s="46"/>
      <c r="L36" s="46"/>
      <c r="M36" s="46"/>
    </row>
    <row r="37" customFormat="false" ht="36" hidden="false" customHeight="true" outlineLevel="0" collapsed="false">
      <c r="A37" s="1"/>
      <c r="B37" s="47"/>
      <c r="C37" s="47"/>
      <c r="D37" s="47"/>
      <c r="E37" s="54"/>
      <c r="F37" s="54"/>
      <c r="G37" s="54"/>
      <c r="H37" s="54"/>
      <c r="I37" s="54"/>
      <c r="J37" s="54"/>
      <c r="K37" s="54"/>
      <c r="L37" s="54"/>
      <c r="M37" s="54"/>
    </row>
    <row r="38" customFormat="false" ht="9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3.5" hidden="false" customHeight="true" outlineLevel="0" collapsed="false">
      <c r="A39" s="1"/>
      <c r="B39" s="55" t="s">
        <v>212</v>
      </c>
      <c r="C39" s="55"/>
      <c r="D39" s="55"/>
      <c r="E39" s="55"/>
      <c r="F39" s="55"/>
      <c r="G39" s="55"/>
      <c r="H39" s="55"/>
      <c r="I39" s="56" t="s">
        <v>119</v>
      </c>
      <c r="J39" s="56"/>
      <c r="K39" s="56"/>
      <c r="L39" s="56"/>
      <c r="M39" s="56"/>
    </row>
  </sheetData>
  <mergeCells count="68">
    <mergeCell ref="K1:M1"/>
    <mergeCell ref="B2:I2"/>
    <mergeCell ref="L2:M2"/>
    <mergeCell ref="B3:I3"/>
    <mergeCell ref="L3:M3"/>
    <mergeCell ref="B5:M5"/>
    <mergeCell ref="B6:M6"/>
    <mergeCell ref="C8:M8"/>
    <mergeCell ref="B9:G9"/>
    <mergeCell ref="H9:M9"/>
    <mergeCell ref="B10:G10"/>
    <mergeCell ref="H10:M10"/>
    <mergeCell ref="B11:D11"/>
    <mergeCell ref="E11:F11"/>
    <mergeCell ref="G11:H11"/>
    <mergeCell ref="I11:M11"/>
    <mergeCell ref="B12:D12"/>
    <mergeCell ref="E12:F12"/>
    <mergeCell ref="G12:H12"/>
    <mergeCell ref="I12:M12"/>
    <mergeCell ref="B13:G13"/>
    <mergeCell ref="H13:M13"/>
    <mergeCell ref="B14:G14"/>
    <mergeCell ref="H14:M14"/>
    <mergeCell ref="C16:M16"/>
    <mergeCell ref="C17:F17"/>
    <mergeCell ref="G17:H17"/>
    <mergeCell ref="I17:J17"/>
    <mergeCell ref="K17:M17"/>
    <mergeCell ref="C18:F18"/>
    <mergeCell ref="G18:H18"/>
    <mergeCell ref="I18:J18"/>
    <mergeCell ref="K18:M18"/>
    <mergeCell ref="C19:F19"/>
    <mergeCell ref="G19:H19"/>
    <mergeCell ref="I19:J19"/>
    <mergeCell ref="K19:M19"/>
    <mergeCell ref="C20:F20"/>
    <mergeCell ref="G20:H20"/>
    <mergeCell ref="I20:J20"/>
    <mergeCell ref="K20:M20"/>
    <mergeCell ref="C21:F21"/>
    <mergeCell ref="G21:H21"/>
    <mergeCell ref="I21:J21"/>
    <mergeCell ref="K21:M21"/>
    <mergeCell ref="C22:F22"/>
    <mergeCell ref="G22:H22"/>
    <mergeCell ref="I22:J22"/>
    <mergeCell ref="K22:M22"/>
    <mergeCell ref="B23:M23"/>
    <mergeCell ref="C25:M25"/>
    <mergeCell ref="B26:M26"/>
    <mergeCell ref="B27:M27"/>
    <mergeCell ref="B28:M28"/>
    <mergeCell ref="B29:M29"/>
    <mergeCell ref="C31:M31"/>
    <mergeCell ref="B32:G32"/>
    <mergeCell ref="H32:M32"/>
    <mergeCell ref="B33:G33"/>
    <mergeCell ref="H33:M33"/>
    <mergeCell ref="B34:M34"/>
    <mergeCell ref="B35:M35"/>
    <mergeCell ref="B36:D36"/>
    <mergeCell ref="E36:M36"/>
    <mergeCell ref="B37:D37"/>
    <mergeCell ref="E37:M37"/>
    <mergeCell ref="B39:H39"/>
    <mergeCell ref="I39:M39"/>
  </mergeCells>
  <dataValidations count="5"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G18:G22" type="decimal">
      <formula1>0</formula1>
      <formula2>0</formula2>
    </dataValidation>
    <dataValidation allowBlank="false" error="Digite um horário no formato hh:mm, por exemplo 14:30." errorStyle="stop" errorTitle="Horário inválido" operator="between" prompt="Formato hh:mm" promptTitle="Horário" showDropDown="false" showErrorMessage="true" showInputMessage="true" sqref="E12 G12" type="time">
      <formula1>0</formula1>
      <formula2>0.999988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B12 B37" type="date">
      <formula1>DATE(2000,1,1)</formula1>
      <formula2>DATE(2100,12,31)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I18:I22" type="list">
      <formula1>Listas!$A$2:$A$11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5" type="list">
      <formula1>Listas!$H$2:$H$6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F05 · Agendamento de coleta · Modelo interno v1.0&amp;R&amp;"Arial,Regular"&amp;7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E8C"/>
    <pageSetUpPr fitToPage="tru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60" t="s">
        <v>213</v>
      </c>
      <c r="C2" s="60"/>
      <c r="D2" s="60"/>
      <c r="E2" s="60"/>
      <c r="F2" s="60"/>
      <c r="G2" s="60"/>
      <c r="H2" s="60"/>
      <c r="I2" s="60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61" t="s">
        <v>49</v>
      </c>
      <c r="C3" s="61"/>
      <c r="D3" s="61"/>
      <c r="E3" s="61"/>
      <c r="F3" s="61"/>
      <c r="G3" s="61"/>
      <c r="H3" s="61"/>
      <c r="I3" s="61"/>
      <c r="J3" s="62" t="s">
        <v>48</v>
      </c>
      <c r="K3" s="63" t="s">
        <v>84</v>
      </c>
      <c r="L3" s="40"/>
      <c r="M3" s="40"/>
    </row>
    <row r="4" customFormat="false" ht="6" hidden="false" customHeight="true" outlineLevel="0" collapsed="false">
      <c r="A4" s="1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customFormat="false" ht="15.75" hidden="false" customHeight="true" outlineLevel="0" collapsed="false">
      <c r="A5" s="1"/>
      <c r="B5" s="42" t="s">
        <v>214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65" t="s">
        <v>215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66" t="s">
        <v>87</v>
      </c>
      <c r="C8" s="67" t="s">
        <v>216</v>
      </c>
      <c r="D8" s="67"/>
      <c r="E8" s="67"/>
      <c r="F8" s="67"/>
      <c r="G8" s="67"/>
      <c r="H8" s="67"/>
      <c r="I8" s="67"/>
      <c r="J8" s="67"/>
      <c r="K8" s="67"/>
      <c r="L8" s="67"/>
      <c r="M8" s="67"/>
    </row>
    <row r="9" customFormat="false" ht="13.5" hidden="false" customHeight="true" outlineLevel="0" collapsed="false">
      <c r="A9" s="1"/>
      <c r="B9" s="46" t="s">
        <v>217</v>
      </c>
      <c r="C9" s="46"/>
      <c r="D9" s="46"/>
      <c r="E9" s="46"/>
      <c r="F9" s="46"/>
      <c r="G9" s="46"/>
      <c r="H9" s="46"/>
      <c r="I9" s="46"/>
      <c r="J9" s="46" t="s">
        <v>218</v>
      </c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219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customFormat="false" ht="13.5" hidden="false" customHeight="true" outlineLevel="0" collapsed="false">
      <c r="A13" s="1"/>
      <c r="B13" s="46" t="s">
        <v>127</v>
      </c>
      <c r="C13" s="46"/>
      <c r="D13" s="46"/>
      <c r="E13" s="46"/>
      <c r="F13" s="46"/>
      <c r="G13" s="46"/>
      <c r="H13" s="46" t="s">
        <v>220</v>
      </c>
      <c r="I13" s="46"/>
      <c r="J13" s="46"/>
      <c r="K13" s="46"/>
      <c r="L13" s="46"/>
      <c r="M13" s="46"/>
    </row>
    <row r="14" customFormat="false" ht="21" hidden="false" customHeight="true" outlineLevel="0" collapsed="false">
      <c r="A14" s="1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customFormat="false" ht="7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9.5" hidden="false" customHeight="true" outlineLevel="0" collapsed="false">
      <c r="A16" s="1"/>
      <c r="B16" s="66" t="s">
        <v>94</v>
      </c>
      <c r="C16" s="67" t="s">
        <v>221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customFormat="false" ht="13.5" hidden="false" customHeight="true" outlineLevel="0" collapsed="false">
      <c r="A17" s="1"/>
      <c r="B17" s="46" t="s">
        <v>222</v>
      </c>
      <c r="C17" s="46"/>
      <c r="D17" s="46"/>
      <c r="E17" s="46"/>
      <c r="F17" s="46"/>
      <c r="G17" s="46"/>
      <c r="H17" s="46" t="s">
        <v>223</v>
      </c>
      <c r="I17" s="46"/>
      <c r="J17" s="46"/>
      <c r="K17" s="46"/>
      <c r="L17" s="46"/>
      <c r="M17" s="46"/>
    </row>
    <row r="18" customFormat="false" ht="21" hidden="false" customHeight="true" outlineLevel="0" collapsed="false">
      <c r="A18" s="1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customFormat="false" ht="13.5" hidden="false" customHeight="true" outlineLevel="0" collapsed="false">
      <c r="A19" s="1"/>
      <c r="B19" s="46" t="s">
        <v>224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customFormat="false" ht="36" hidden="false" customHeight="true" outlineLevel="0" collapsed="false">
      <c r="A20" s="1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</row>
    <row r="21" customFormat="false" ht="7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9.5" hidden="false" customHeight="true" outlineLevel="0" collapsed="false">
      <c r="A22" s="1"/>
      <c r="B22" s="66" t="s">
        <v>102</v>
      </c>
      <c r="C22" s="67" t="s">
        <v>225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</row>
    <row r="23" customFormat="false" ht="25.5" hidden="false" customHeight="true" outlineLevel="0" collapsed="false">
      <c r="A23" s="1"/>
      <c r="B23" s="68" t="s">
        <v>96</v>
      </c>
      <c r="C23" s="69" t="s">
        <v>226</v>
      </c>
      <c r="D23" s="69"/>
      <c r="E23" s="69"/>
      <c r="F23" s="69"/>
      <c r="G23" s="69"/>
      <c r="H23" s="69" t="s">
        <v>227</v>
      </c>
      <c r="I23" s="69"/>
      <c r="J23" s="68" t="s">
        <v>228</v>
      </c>
      <c r="K23" s="68"/>
      <c r="L23" s="68" t="s">
        <v>229</v>
      </c>
      <c r="M23" s="68"/>
    </row>
    <row r="24" customFormat="false" ht="19.5" hidden="false" customHeight="true" outlineLevel="0" collapsed="false">
      <c r="A24" s="1"/>
      <c r="B24" s="50" t="n">
        <v>1</v>
      </c>
      <c r="C24" s="70" t="s">
        <v>230</v>
      </c>
      <c r="D24" s="70"/>
      <c r="E24" s="70"/>
      <c r="F24" s="70"/>
      <c r="G24" s="70"/>
      <c r="H24" s="51"/>
      <c r="I24" s="51"/>
      <c r="J24" s="71"/>
      <c r="K24" s="71"/>
      <c r="L24" s="59"/>
      <c r="M24" s="59"/>
    </row>
    <row r="25" customFormat="false" ht="19.5" hidden="false" customHeight="true" outlineLevel="0" collapsed="false">
      <c r="A25" s="1"/>
      <c r="B25" s="50" t="n">
        <v>2</v>
      </c>
      <c r="C25" s="70" t="s">
        <v>231</v>
      </c>
      <c r="D25" s="70"/>
      <c r="E25" s="70"/>
      <c r="F25" s="70"/>
      <c r="G25" s="70"/>
      <c r="H25" s="51"/>
      <c r="I25" s="51"/>
      <c r="J25" s="71"/>
      <c r="K25" s="71"/>
      <c r="L25" s="59"/>
      <c r="M25" s="59"/>
    </row>
    <row r="26" customFormat="false" ht="19.5" hidden="false" customHeight="true" outlineLevel="0" collapsed="false">
      <c r="A26" s="1"/>
      <c r="B26" s="50" t="n">
        <v>3</v>
      </c>
      <c r="C26" s="70" t="s">
        <v>232</v>
      </c>
      <c r="D26" s="70"/>
      <c r="E26" s="70"/>
      <c r="F26" s="70"/>
      <c r="G26" s="70"/>
      <c r="H26" s="51"/>
      <c r="I26" s="51"/>
      <c r="J26" s="71"/>
      <c r="K26" s="71"/>
      <c r="L26" s="59"/>
      <c r="M26" s="59"/>
    </row>
    <row r="27" customFormat="false" ht="19.5" hidden="false" customHeight="true" outlineLevel="0" collapsed="false">
      <c r="A27" s="1"/>
      <c r="B27" s="50" t="n">
        <v>4</v>
      </c>
      <c r="C27" s="70" t="s">
        <v>233</v>
      </c>
      <c r="D27" s="70"/>
      <c r="E27" s="70"/>
      <c r="F27" s="70"/>
      <c r="G27" s="70"/>
      <c r="H27" s="51"/>
      <c r="I27" s="51"/>
      <c r="J27" s="71"/>
      <c r="K27" s="71"/>
      <c r="L27" s="59"/>
      <c r="M27" s="59"/>
    </row>
    <row r="28" customFormat="false" ht="19.5" hidden="false" customHeight="true" outlineLevel="0" collapsed="false">
      <c r="A28" s="1"/>
      <c r="B28" s="50" t="n">
        <v>5</v>
      </c>
      <c r="C28" s="51"/>
      <c r="D28" s="51"/>
      <c r="E28" s="51"/>
      <c r="F28" s="51"/>
      <c r="G28" s="51"/>
      <c r="H28" s="51"/>
      <c r="I28" s="51"/>
      <c r="J28" s="71"/>
      <c r="K28" s="71"/>
      <c r="L28" s="59"/>
      <c r="M28" s="59"/>
    </row>
    <row r="29" customFormat="false" ht="19.5" hidden="false" customHeight="true" outlineLevel="0" collapsed="false">
      <c r="A29" s="1"/>
      <c r="B29" s="50" t="n">
        <v>6</v>
      </c>
      <c r="C29" s="51"/>
      <c r="D29" s="51"/>
      <c r="E29" s="51"/>
      <c r="F29" s="51"/>
      <c r="G29" s="51"/>
      <c r="H29" s="51"/>
      <c r="I29" s="51"/>
      <c r="J29" s="71"/>
      <c r="K29" s="71"/>
      <c r="L29" s="59"/>
      <c r="M29" s="59"/>
    </row>
    <row r="30" customFormat="false" ht="24" hidden="false" customHeight="true" outlineLevel="0" collapsed="false">
      <c r="A30" s="1"/>
      <c r="B30" s="53" t="s">
        <v>234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customFormat="false" ht="7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9.5" hidden="false" customHeight="true" outlineLevel="0" collapsed="false">
      <c r="A32" s="1"/>
      <c r="B32" s="66" t="s">
        <v>107</v>
      </c>
      <c r="C32" s="67" t="s">
        <v>235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</row>
    <row r="33" customFormat="false" ht="13.5" hidden="false" customHeight="true" outlineLevel="0" collapsed="false">
      <c r="A33" s="1"/>
      <c r="B33" s="46" t="s">
        <v>171</v>
      </c>
      <c r="C33" s="46"/>
      <c r="D33" s="46"/>
      <c r="E33" s="46"/>
      <c r="F33" s="46"/>
      <c r="G33" s="46"/>
      <c r="H33" s="46" t="s">
        <v>236</v>
      </c>
      <c r="I33" s="46"/>
      <c r="J33" s="46"/>
      <c r="K33" s="46" t="s">
        <v>237</v>
      </c>
      <c r="L33" s="46"/>
      <c r="M33" s="46"/>
    </row>
    <row r="34" customFormat="false" ht="21" hidden="false" customHeight="true" outlineLevel="0" collapsed="false">
      <c r="A34" s="1"/>
      <c r="B34" s="40"/>
      <c r="C34" s="40"/>
      <c r="D34" s="40"/>
      <c r="E34" s="40"/>
      <c r="F34" s="40"/>
      <c r="G34" s="40"/>
      <c r="H34" s="47"/>
      <c r="I34" s="47"/>
      <c r="J34" s="47"/>
      <c r="K34" s="47"/>
      <c r="L34" s="47"/>
      <c r="M34" s="47"/>
    </row>
    <row r="35" customFormat="false" ht="13.5" hidden="false" customHeight="true" outlineLevel="0" collapsed="false">
      <c r="A35" s="1"/>
      <c r="B35" s="46" t="s">
        <v>143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customFormat="false" ht="51" hidden="false" customHeight="true" outlineLevel="0" collapsed="false">
      <c r="A36" s="1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customFormat="false" ht="9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3.5" hidden="false" customHeight="true" outlineLevel="0" collapsed="false">
      <c r="A38" s="1"/>
      <c r="B38" s="55" t="s">
        <v>238</v>
      </c>
      <c r="C38" s="55"/>
      <c r="D38" s="55"/>
      <c r="E38" s="55"/>
      <c r="F38" s="55"/>
      <c r="G38" s="55"/>
      <c r="H38" s="55"/>
      <c r="I38" s="56" t="s">
        <v>119</v>
      </c>
      <c r="J38" s="56"/>
      <c r="K38" s="56"/>
      <c r="L38" s="56"/>
      <c r="M38" s="56"/>
    </row>
  </sheetData>
  <mergeCells count="66">
    <mergeCell ref="K1:M1"/>
    <mergeCell ref="B2:I2"/>
    <mergeCell ref="L2:M2"/>
    <mergeCell ref="B3:I3"/>
    <mergeCell ref="L3:M3"/>
    <mergeCell ref="B5:M5"/>
    <mergeCell ref="B6:M6"/>
    <mergeCell ref="C8:M8"/>
    <mergeCell ref="B9:I9"/>
    <mergeCell ref="J9:M9"/>
    <mergeCell ref="B10:I10"/>
    <mergeCell ref="J10:M10"/>
    <mergeCell ref="B11:M11"/>
    <mergeCell ref="B12:M12"/>
    <mergeCell ref="B13:G13"/>
    <mergeCell ref="H13:M13"/>
    <mergeCell ref="B14:G14"/>
    <mergeCell ref="H14:M14"/>
    <mergeCell ref="C16:M16"/>
    <mergeCell ref="B17:G17"/>
    <mergeCell ref="H17:M17"/>
    <mergeCell ref="B18:G18"/>
    <mergeCell ref="H18:M18"/>
    <mergeCell ref="B19:M19"/>
    <mergeCell ref="B20:M20"/>
    <mergeCell ref="C22:M22"/>
    <mergeCell ref="C23:G23"/>
    <mergeCell ref="H23:I23"/>
    <mergeCell ref="J23:K23"/>
    <mergeCell ref="L23:M23"/>
    <mergeCell ref="C24:G24"/>
    <mergeCell ref="H24:I24"/>
    <mergeCell ref="J24:K24"/>
    <mergeCell ref="L24:M24"/>
    <mergeCell ref="C25:G25"/>
    <mergeCell ref="H25:I25"/>
    <mergeCell ref="J25:K25"/>
    <mergeCell ref="L25:M25"/>
    <mergeCell ref="C26:G26"/>
    <mergeCell ref="H26:I26"/>
    <mergeCell ref="J26:K26"/>
    <mergeCell ref="L26:M26"/>
    <mergeCell ref="C27:G27"/>
    <mergeCell ref="H27:I27"/>
    <mergeCell ref="J27:K27"/>
    <mergeCell ref="L27:M27"/>
    <mergeCell ref="C28:G28"/>
    <mergeCell ref="H28:I28"/>
    <mergeCell ref="J28:K28"/>
    <mergeCell ref="L28:M28"/>
    <mergeCell ref="C29:G29"/>
    <mergeCell ref="H29:I29"/>
    <mergeCell ref="J29:K29"/>
    <mergeCell ref="L29:M29"/>
    <mergeCell ref="B30:M30"/>
    <mergeCell ref="C32:M32"/>
    <mergeCell ref="B33:G33"/>
    <mergeCell ref="H33:J33"/>
    <mergeCell ref="K33:M33"/>
    <mergeCell ref="B34:G34"/>
    <mergeCell ref="H34:J34"/>
    <mergeCell ref="K34:M34"/>
    <mergeCell ref="B35:M35"/>
    <mergeCell ref="B36:M36"/>
    <mergeCell ref="B38:H38"/>
    <mergeCell ref="I38:M38"/>
  </mergeCells>
  <dataValidations count="2"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J24:J29 H34 K34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L24:L29" type="list">
      <formula1>Listas!$I$2:$I$4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F06 · Ficha cadastral do transportador · Modelo interno v1.0&amp;R&amp;"Arial,Regular"&amp;7 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E8C"/>
    <pageSetUpPr fitToPage="tru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60" t="s">
        <v>239</v>
      </c>
      <c r="C2" s="60"/>
      <c r="D2" s="60"/>
      <c r="E2" s="60"/>
      <c r="F2" s="60"/>
      <c r="G2" s="60"/>
      <c r="H2" s="60"/>
      <c r="I2" s="60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61" t="s">
        <v>52</v>
      </c>
      <c r="C3" s="61"/>
      <c r="D3" s="61"/>
      <c r="E3" s="61"/>
      <c r="F3" s="61"/>
      <c r="G3" s="61"/>
      <c r="H3" s="61"/>
      <c r="I3" s="61"/>
      <c r="J3" s="62" t="s">
        <v>51</v>
      </c>
      <c r="K3" s="63" t="s">
        <v>84</v>
      </c>
      <c r="L3" s="40"/>
      <c r="M3" s="40"/>
    </row>
    <row r="4" customFormat="false" ht="6" hidden="false" customHeight="true" outlineLevel="0" collapsed="false">
      <c r="A4" s="1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customFormat="false" ht="15.75" hidden="false" customHeight="true" outlineLevel="0" collapsed="false">
      <c r="A5" s="1"/>
      <c r="B5" s="42" t="s">
        <v>240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18" hidden="false" customHeight="true" outlineLevel="0" collapsed="false">
      <c r="A6" s="1"/>
      <c r="B6" s="65" t="s">
        <v>241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66" t="s">
        <v>87</v>
      </c>
      <c r="C8" s="67" t="s">
        <v>216</v>
      </c>
      <c r="D8" s="67"/>
      <c r="E8" s="67"/>
      <c r="F8" s="67"/>
      <c r="G8" s="67"/>
      <c r="H8" s="67"/>
      <c r="I8" s="67"/>
      <c r="J8" s="67"/>
      <c r="K8" s="67"/>
      <c r="L8" s="67"/>
      <c r="M8" s="67"/>
    </row>
    <row r="9" customFormat="false" ht="13.5" hidden="false" customHeight="true" outlineLevel="0" collapsed="false">
      <c r="A9" s="1"/>
      <c r="B9" s="46" t="s">
        <v>217</v>
      </c>
      <c r="C9" s="46"/>
      <c r="D9" s="46"/>
      <c r="E9" s="46"/>
      <c r="F9" s="46"/>
      <c r="G9" s="46"/>
      <c r="H9" s="46"/>
      <c r="I9" s="46"/>
      <c r="J9" s="46" t="s">
        <v>218</v>
      </c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242</v>
      </c>
      <c r="C11" s="46"/>
      <c r="D11" s="46"/>
      <c r="E11" s="46"/>
      <c r="F11" s="46"/>
      <c r="G11" s="46"/>
      <c r="H11" s="46" t="s">
        <v>243</v>
      </c>
      <c r="I11" s="46"/>
      <c r="J11" s="46"/>
      <c r="K11" s="46"/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customFormat="false" ht="13.5" hidden="false" customHeight="true" outlineLevel="0" collapsed="false">
      <c r="A13" s="1"/>
      <c r="B13" s="46" t="s">
        <v>127</v>
      </c>
      <c r="C13" s="46"/>
      <c r="D13" s="46"/>
      <c r="E13" s="46"/>
      <c r="F13" s="46"/>
      <c r="G13" s="46"/>
      <c r="H13" s="46" t="s">
        <v>220</v>
      </c>
      <c r="I13" s="46"/>
      <c r="J13" s="46"/>
      <c r="K13" s="46"/>
      <c r="L13" s="46"/>
      <c r="M13" s="46"/>
    </row>
    <row r="14" customFormat="false" ht="21" hidden="false" customHeight="true" outlineLevel="0" collapsed="false">
      <c r="A14" s="1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customFormat="false" ht="7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9.5" hidden="false" customHeight="true" outlineLevel="0" collapsed="false">
      <c r="A16" s="1"/>
      <c r="B16" s="66" t="s">
        <v>94</v>
      </c>
      <c r="C16" s="67" t="s">
        <v>244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customFormat="false" ht="18" hidden="false" customHeight="true" outlineLevel="0" collapsed="false">
      <c r="A17" s="1"/>
      <c r="B17" s="68" t="s">
        <v>96</v>
      </c>
      <c r="C17" s="69" t="s">
        <v>245</v>
      </c>
      <c r="D17" s="69"/>
      <c r="E17" s="69"/>
      <c r="F17" s="69"/>
      <c r="G17" s="69" t="s">
        <v>246</v>
      </c>
      <c r="H17" s="69"/>
      <c r="I17" s="69"/>
      <c r="J17" s="69"/>
      <c r="K17" s="69" t="s">
        <v>143</v>
      </c>
      <c r="L17" s="69"/>
      <c r="M17" s="69"/>
    </row>
    <row r="18" customFormat="false" ht="19.5" hidden="false" customHeight="true" outlineLevel="0" collapsed="false">
      <c r="A18" s="1"/>
      <c r="B18" s="50" t="n">
        <v>1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</row>
    <row r="19" customFormat="false" ht="19.5" hidden="false" customHeight="true" outlineLevel="0" collapsed="false">
      <c r="A19" s="1"/>
      <c r="B19" s="50" t="n">
        <v>2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</row>
    <row r="20" customFormat="false" ht="19.5" hidden="false" customHeight="true" outlineLevel="0" collapsed="false">
      <c r="A20" s="1"/>
      <c r="B20" s="50" t="n">
        <v>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</row>
    <row r="21" customFormat="false" ht="19.5" hidden="false" customHeight="true" outlineLevel="0" collapsed="false">
      <c r="A21" s="1"/>
      <c r="B21" s="50" t="n">
        <v>4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</row>
    <row r="22" customFormat="false" ht="13.5" hidden="false" customHeight="true" outlineLevel="0" collapsed="false">
      <c r="A22" s="1"/>
      <c r="B22" s="53" t="s">
        <v>101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customFormat="false" ht="7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9.5" hidden="false" customHeight="true" outlineLevel="0" collapsed="false">
      <c r="A24" s="1"/>
      <c r="B24" s="66" t="s">
        <v>102</v>
      </c>
      <c r="C24" s="67" t="s">
        <v>247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</row>
    <row r="25" customFormat="false" ht="25.5" hidden="false" customHeight="true" outlineLevel="0" collapsed="false">
      <c r="A25" s="1"/>
      <c r="B25" s="68" t="s">
        <v>96</v>
      </c>
      <c r="C25" s="69" t="s">
        <v>248</v>
      </c>
      <c r="D25" s="69"/>
      <c r="E25" s="69"/>
      <c r="F25" s="69"/>
      <c r="G25" s="69"/>
      <c r="H25" s="69" t="s">
        <v>227</v>
      </c>
      <c r="I25" s="69"/>
      <c r="J25" s="68" t="s">
        <v>228</v>
      </c>
      <c r="K25" s="68"/>
      <c r="L25" s="68" t="s">
        <v>229</v>
      </c>
      <c r="M25" s="68"/>
    </row>
    <row r="26" customFormat="false" ht="19.5" hidden="false" customHeight="true" outlineLevel="0" collapsed="false">
      <c r="A26" s="1"/>
      <c r="B26" s="50" t="n">
        <v>1</v>
      </c>
      <c r="C26" s="70" t="s">
        <v>249</v>
      </c>
      <c r="D26" s="70"/>
      <c r="E26" s="70"/>
      <c r="F26" s="70"/>
      <c r="G26" s="70"/>
      <c r="H26" s="51"/>
      <c r="I26" s="51"/>
      <c r="J26" s="71"/>
      <c r="K26" s="71"/>
      <c r="L26" s="59"/>
      <c r="M26" s="59"/>
    </row>
    <row r="27" customFormat="false" ht="19.5" hidden="false" customHeight="true" outlineLevel="0" collapsed="false">
      <c r="A27" s="1"/>
      <c r="B27" s="50" t="n">
        <v>2</v>
      </c>
      <c r="C27" s="70" t="s">
        <v>231</v>
      </c>
      <c r="D27" s="70"/>
      <c r="E27" s="70"/>
      <c r="F27" s="70"/>
      <c r="G27" s="70"/>
      <c r="H27" s="51"/>
      <c r="I27" s="51"/>
      <c r="J27" s="71"/>
      <c r="K27" s="71"/>
      <c r="L27" s="59"/>
      <c r="M27" s="59"/>
    </row>
    <row r="28" customFormat="false" ht="19.5" hidden="false" customHeight="true" outlineLevel="0" collapsed="false">
      <c r="A28" s="1"/>
      <c r="B28" s="50" t="n">
        <v>3</v>
      </c>
      <c r="C28" s="70" t="s">
        <v>250</v>
      </c>
      <c r="D28" s="70"/>
      <c r="E28" s="70"/>
      <c r="F28" s="70"/>
      <c r="G28" s="70"/>
      <c r="H28" s="51"/>
      <c r="I28" s="51"/>
      <c r="J28" s="71"/>
      <c r="K28" s="71"/>
      <c r="L28" s="59"/>
      <c r="M28" s="59"/>
    </row>
    <row r="29" customFormat="false" ht="19.5" hidden="false" customHeight="true" outlineLevel="0" collapsed="false">
      <c r="A29" s="1"/>
      <c r="B29" s="50" t="n">
        <v>4</v>
      </c>
      <c r="C29" s="70" t="s">
        <v>251</v>
      </c>
      <c r="D29" s="70"/>
      <c r="E29" s="70"/>
      <c r="F29" s="70"/>
      <c r="G29" s="70"/>
      <c r="H29" s="51"/>
      <c r="I29" s="51"/>
      <c r="J29" s="71"/>
      <c r="K29" s="71"/>
      <c r="L29" s="59"/>
      <c r="M29" s="59"/>
    </row>
    <row r="30" customFormat="false" ht="19.5" hidden="false" customHeight="true" outlineLevel="0" collapsed="false">
      <c r="A30" s="1"/>
      <c r="B30" s="50" t="n">
        <v>5</v>
      </c>
      <c r="C30" s="51"/>
      <c r="D30" s="51"/>
      <c r="E30" s="51"/>
      <c r="F30" s="51"/>
      <c r="G30" s="51"/>
      <c r="H30" s="51"/>
      <c r="I30" s="51"/>
      <c r="J30" s="71"/>
      <c r="K30" s="71"/>
      <c r="L30" s="59"/>
      <c r="M30" s="59"/>
    </row>
    <row r="31" customFormat="false" ht="24" hidden="false" customHeight="true" outlineLevel="0" collapsed="false">
      <c r="A31" s="1"/>
      <c r="B31" s="53" t="s">
        <v>234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customFormat="false" ht="7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9.5" hidden="false" customHeight="true" outlineLevel="0" collapsed="false">
      <c r="A33" s="1"/>
      <c r="B33" s="66" t="s">
        <v>107</v>
      </c>
      <c r="C33" s="67" t="s">
        <v>235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4" customFormat="false" ht="13.5" hidden="false" customHeight="true" outlineLevel="0" collapsed="false">
      <c r="A34" s="1"/>
      <c r="B34" s="46" t="s">
        <v>252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customFormat="false" ht="21" hidden="false" customHeight="true" outlineLevel="0" collapsed="false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customFormat="false" ht="13.5" hidden="false" customHeight="true" outlineLevel="0" collapsed="false">
      <c r="A36" s="1"/>
      <c r="B36" s="46" t="s">
        <v>171</v>
      </c>
      <c r="C36" s="46"/>
      <c r="D36" s="46"/>
      <c r="E36" s="46"/>
      <c r="F36" s="46"/>
      <c r="G36" s="46"/>
      <c r="H36" s="46"/>
      <c r="I36" s="46"/>
      <c r="J36" s="46"/>
      <c r="K36" s="46" t="s">
        <v>170</v>
      </c>
      <c r="L36" s="46"/>
      <c r="M36" s="46"/>
    </row>
    <row r="37" customFormat="false" ht="21" hidden="false" customHeight="true" outlineLevel="0" collapsed="false">
      <c r="A37" s="1"/>
      <c r="B37" s="40"/>
      <c r="C37" s="40"/>
      <c r="D37" s="40"/>
      <c r="E37" s="40"/>
      <c r="F37" s="40"/>
      <c r="G37" s="40"/>
      <c r="H37" s="40"/>
      <c r="I37" s="40"/>
      <c r="J37" s="40"/>
      <c r="K37" s="47"/>
      <c r="L37" s="47"/>
      <c r="M37" s="47"/>
    </row>
    <row r="38" customFormat="false" ht="13.5" hidden="false" customHeight="true" outlineLevel="0" collapsed="false">
      <c r="A38" s="1"/>
      <c r="B38" s="46" t="s">
        <v>143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customFormat="false" ht="51" hidden="false" customHeight="true" outlineLevel="0" collapsed="false">
      <c r="A39" s="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customFormat="false" ht="9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3.5" hidden="false" customHeight="true" outlineLevel="0" collapsed="false">
      <c r="A41" s="1"/>
      <c r="B41" s="55" t="s">
        <v>253</v>
      </c>
      <c r="C41" s="55"/>
      <c r="D41" s="55"/>
      <c r="E41" s="55"/>
      <c r="F41" s="55"/>
      <c r="G41" s="55"/>
      <c r="H41" s="55"/>
      <c r="I41" s="56" t="s">
        <v>119</v>
      </c>
      <c r="J41" s="56"/>
      <c r="K41" s="56"/>
      <c r="L41" s="56"/>
      <c r="M41" s="56"/>
    </row>
  </sheetData>
  <mergeCells count="74">
    <mergeCell ref="K1:M1"/>
    <mergeCell ref="B2:I2"/>
    <mergeCell ref="L2:M2"/>
    <mergeCell ref="B3:I3"/>
    <mergeCell ref="L3:M3"/>
    <mergeCell ref="B5:M5"/>
    <mergeCell ref="B6:M6"/>
    <mergeCell ref="C8:M8"/>
    <mergeCell ref="B9:I9"/>
    <mergeCell ref="J9:M9"/>
    <mergeCell ref="B10:I10"/>
    <mergeCell ref="J10:M10"/>
    <mergeCell ref="B11:G11"/>
    <mergeCell ref="H11:M11"/>
    <mergeCell ref="B12:G12"/>
    <mergeCell ref="H12:M12"/>
    <mergeCell ref="B13:G13"/>
    <mergeCell ref="H13:M13"/>
    <mergeCell ref="B14:G14"/>
    <mergeCell ref="H14:M14"/>
    <mergeCell ref="C16:M16"/>
    <mergeCell ref="C17:F17"/>
    <mergeCell ref="G17:J17"/>
    <mergeCell ref="K17:M17"/>
    <mergeCell ref="C18:F18"/>
    <mergeCell ref="G18:J18"/>
    <mergeCell ref="K18:M18"/>
    <mergeCell ref="C19:F19"/>
    <mergeCell ref="G19:J19"/>
    <mergeCell ref="K19:M19"/>
    <mergeCell ref="C20:F20"/>
    <mergeCell ref="G20:J20"/>
    <mergeCell ref="K20:M20"/>
    <mergeCell ref="C21:F21"/>
    <mergeCell ref="G21:J21"/>
    <mergeCell ref="K21:M21"/>
    <mergeCell ref="B22:M22"/>
    <mergeCell ref="C24:M24"/>
    <mergeCell ref="C25:G25"/>
    <mergeCell ref="H25:I25"/>
    <mergeCell ref="J25:K25"/>
    <mergeCell ref="L25:M25"/>
    <mergeCell ref="C26:G26"/>
    <mergeCell ref="H26:I26"/>
    <mergeCell ref="J26:K26"/>
    <mergeCell ref="L26:M26"/>
    <mergeCell ref="C27:G27"/>
    <mergeCell ref="H27:I27"/>
    <mergeCell ref="J27:K27"/>
    <mergeCell ref="L27:M27"/>
    <mergeCell ref="C28:G28"/>
    <mergeCell ref="H28:I28"/>
    <mergeCell ref="J28:K28"/>
    <mergeCell ref="L28:M28"/>
    <mergeCell ref="C29:G29"/>
    <mergeCell ref="H29:I29"/>
    <mergeCell ref="J29:K29"/>
    <mergeCell ref="L29:M29"/>
    <mergeCell ref="C30:G30"/>
    <mergeCell ref="H30:I30"/>
    <mergeCell ref="J30:K30"/>
    <mergeCell ref="L30:M30"/>
    <mergeCell ref="B31:M31"/>
    <mergeCell ref="C33:M33"/>
    <mergeCell ref="B34:M34"/>
    <mergeCell ref="B35:M35"/>
    <mergeCell ref="B36:J36"/>
    <mergeCell ref="K36:M36"/>
    <mergeCell ref="B37:J37"/>
    <mergeCell ref="K37:M37"/>
    <mergeCell ref="B38:M38"/>
    <mergeCell ref="B39:M39"/>
    <mergeCell ref="B41:H41"/>
    <mergeCell ref="I41:M41"/>
  </mergeCells>
  <dataValidations count="3"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G18:G21" type="list">
      <formula1>Listas!$J$2:$J$8</formula1>
      <formula2>0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J26:J30 K37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L26:L30" type="list">
      <formula1>Listas!$I$2:$I$4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F07 · Ficha cadastral do destinador · Modelo interno v1.0&amp;R&amp;"Arial,Regular"&amp;7 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E8C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60" t="s">
        <v>254</v>
      </c>
      <c r="C2" s="60"/>
      <c r="D2" s="60"/>
      <c r="E2" s="60"/>
      <c r="F2" s="60"/>
      <c r="G2" s="60"/>
      <c r="H2" s="60"/>
      <c r="I2" s="60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61" t="s">
        <v>55</v>
      </c>
      <c r="C3" s="61"/>
      <c r="D3" s="61"/>
      <c r="E3" s="61"/>
      <c r="F3" s="61"/>
      <c r="G3" s="61"/>
      <c r="H3" s="61"/>
      <c r="I3" s="61"/>
      <c r="J3" s="62" t="s">
        <v>54</v>
      </c>
      <c r="K3" s="63" t="s">
        <v>84</v>
      </c>
      <c r="L3" s="40"/>
      <c r="M3" s="40"/>
    </row>
    <row r="4" customFormat="false" ht="6" hidden="false" customHeight="true" outlineLevel="0" collapsed="false">
      <c r="A4" s="1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customFormat="false" ht="15.75" hidden="false" customHeight="true" outlineLevel="0" collapsed="false">
      <c r="A5" s="1"/>
      <c r="B5" s="42" t="s">
        <v>255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65" t="s">
        <v>256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customFormat="false" ht="18" hidden="false" customHeight="true" outlineLevel="0" collapsed="false">
      <c r="A7" s="1"/>
      <c r="B7" s="72" t="s">
        <v>257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</row>
    <row r="8" customFormat="false" ht="7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customFormat="false" ht="19.5" hidden="false" customHeight="true" outlineLevel="0" collapsed="false">
      <c r="A9" s="1"/>
      <c r="B9" s="66" t="s">
        <v>87</v>
      </c>
      <c r="C9" s="67" t="s">
        <v>258</v>
      </c>
      <c r="D9" s="67"/>
      <c r="E9" s="67"/>
      <c r="F9" s="67"/>
      <c r="G9" s="67"/>
      <c r="H9" s="67"/>
      <c r="I9" s="67"/>
      <c r="J9" s="67"/>
      <c r="K9" s="67"/>
      <c r="L9" s="67"/>
      <c r="M9" s="67"/>
    </row>
    <row r="10" customFormat="false" ht="13.5" hidden="false" customHeight="true" outlineLevel="0" collapsed="false">
      <c r="A10" s="1"/>
      <c r="B10" s="46" t="s">
        <v>259</v>
      </c>
      <c r="C10" s="46"/>
      <c r="D10" s="46"/>
      <c r="E10" s="46"/>
      <c r="F10" s="46"/>
      <c r="G10" s="46" t="s">
        <v>260</v>
      </c>
      <c r="H10" s="46"/>
      <c r="I10" s="46"/>
      <c r="J10" s="46"/>
      <c r="K10" s="46"/>
      <c r="L10" s="46"/>
      <c r="M10" s="46"/>
    </row>
    <row r="11" customFormat="false" ht="21" hidden="false" customHeight="true" outlineLevel="0" collapsed="false">
      <c r="A11" s="1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customFormat="false" ht="13.5" hidden="false" customHeight="true" outlineLevel="0" collapsed="false">
      <c r="A12" s="1"/>
      <c r="B12" s="46" t="s">
        <v>171</v>
      </c>
      <c r="C12" s="46"/>
      <c r="D12" s="46"/>
      <c r="E12" s="46"/>
      <c r="F12" s="46"/>
      <c r="G12" s="46"/>
      <c r="H12" s="46"/>
      <c r="I12" s="46"/>
      <c r="J12" s="46"/>
      <c r="K12" s="46" t="s">
        <v>170</v>
      </c>
      <c r="L12" s="46"/>
      <c r="M12" s="46"/>
    </row>
    <row r="13" customFormat="false" ht="21" hidden="false" customHeight="true" outlineLevel="0" collapsed="false">
      <c r="A13" s="1"/>
      <c r="B13" s="40"/>
      <c r="C13" s="40"/>
      <c r="D13" s="40"/>
      <c r="E13" s="40"/>
      <c r="F13" s="40"/>
      <c r="G13" s="40"/>
      <c r="H13" s="40"/>
      <c r="I13" s="40"/>
      <c r="J13" s="40"/>
      <c r="K13" s="47"/>
      <c r="L13" s="47"/>
      <c r="M13" s="47"/>
    </row>
    <row r="14" customFormat="false" ht="7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19.5" hidden="false" customHeight="true" outlineLevel="0" collapsed="false">
      <c r="A15" s="1"/>
      <c r="B15" s="66" t="s">
        <v>94</v>
      </c>
      <c r="C15" s="67" t="s">
        <v>261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</row>
    <row r="16" customFormat="false" ht="16.5" hidden="false" customHeight="true" outlineLevel="0" collapsed="false">
      <c r="A16" s="1"/>
      <c r="B16" s="73" t="s">
        <v>262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</row>
    <row r="17" customFormat="false" ht="13.5" hidden="false" customHeight="true" outlineLevel="0" collapsed="false">
      <c r="A17" s="1"/>
      <c r="B17" s="46" t="s">
        <v>217</v>
      </c>
      <c r="C17" s="46"/>
      <c r="D17" s="46"/>
      <c r="E17" s="46"/>
      <c r="F17" s="46"/>
      <c r="G17" s="46"/>
      <c r="H17" s="46" t="s">
        <v>218</v>
      </c>
      <c r="I17" s="46"/>
      <c r="J17" s="46"/>
      <c r="K17" s="46" t="s">
        <v>263</v>
      </c>
      <c r="L17" s="46"/>
      <c r="M17" s="46"/>
    </row>
    <row r="18" customFormat="false" ht="21" hidden="false" customHeight="true" outlineLevel="0" collapsed="false">
      <c r="A18" s="1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customFormat="false" ht="13.5" hidden="false" customHeight="true" outlineLevel="0" collapsed="false">
      <c r="A19" s="1"/>
      <c r="B19" s="46" t="s">
        <v>264</v>
      </c>
      <c r="C19" s="46"/>
      <c r="D19" s="46"/>
      <c r="E19" s="46"/>
      <c r="F19" s="46"/>
      <c r="G19" s="46"/>
      <c r="H19" s="1"/>
      <c r="I19" s="1"/>
      <c r="J19" s="1"/>
      <c r="K19" s="1"/>
      <c r="L19" s="1"/>
      <c r="M19" s="1"/>
    </row>
    <row r="20" customFormat="false" ht="21" hidden="false" customHeight="true" outlineLevel="0" collapsed="false">
      <c r="A20" s="1"/>
      <c r="B20" s="40"/>
      <c r="C20" s="40"/>
      <c r="D20" s="40"/>
      <c r="E20" s="40"/>
      <c r="F20" s="40"/>
      <c r="G20" s="40"/>
      <c r="H20" s="1"/>
      <c r="I20" s="1"/>
      <c r="J20" s="1"/>
      <c r="K20" s="1"/>
      <c r="L20" s="1"/>
      <c r="M20" s="1"/>
    </row>
    <row r="21" customFormat="false" ht="16.5" hidden="false" customHeight="true" outlineLevel="0" collapsed="false">
      <c r="A21" s="1"/>
      <c r="B21" s="73" t="s">
        <v>265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</row>
    <row r="22" customFormat="false" ht="13.5" hidden="false" customHeight="true" outlineLevel="0" collapsed="false">
      <c r="A22" s="1"/>
      <c r="B22" s="46" t="s">
        <v>217</v>
      </c>
      <c r="C22" s="46"/>
      <c r="D22" s="46"/>
      <c r="E22" s="46"/>
      <c r="F22" s="46"/>
      <c r="G22" s="46"/>
      <c r="H22" s="46" t="s">
        <v>218</v>
      </c>
      <c r="I22" s="46"/>
      <c r="J22" s="46"/>
      <c r="K22" s="46" t="s">
        <v>263</v>
      </c>
      <c r="L22" s="46"/>
      <c r="M22" s="46"/>
    </row>
    <row r="23" customFormat="false" ht="21" hidden="false" customHeight="true" outlineLevel="0" collapsed="false">
      <c r="A23" s="1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customFormat="false" ht="13.5" hidden="false" customHeight="true" outlineLevel="0" collapsed="false">
      <c r="A24" s="1"/>
      <c r="B24" s="46" t="s">
        <v>266</v>
      </c>
      <c r="C24" s="46"/>
      <c r="D24" s="46"/>
      <c r="E24" s="46"/>
      <c r="F24" s="46"/>
      <c r="G24" s="46"/>
      <c r="H24" s="1"/>
      <c r="I24" s="1"/>
      <c r="J24" s="1"/>
      <c r="K24" s="1"/>
      <c r="L24" s="1"/>
      <c r="M24" s="1"/>
    </row>
    <row r="25" customFormat="false" ht="21" hidden="false" customHeight="true" outlineLevel="0" collapsed="false">
      <c r="A25" s="1"/>
      <c r="B25" s="40"/>
      <c r="C25" s="40"/>
      <c r="D25" s="40"/>
      <c r="E25" s="40"/>
      <c r="F25" s="40"/>
      <c r="G25" s="40"/>
      <c r="H25" s="1"/>
      <c r="I25" s="1"/>
      <c r="J25" s="1"/>
      <c r="K25" s="1"/>
      <c r="L25" s="1"/>
      <c r="M25" s="1"/>
    </row>
    <row r="26" customFormat="false" ht="16.5" hidden="false" customHeight="true" outlineLevel="0" collapsed="false">
      <c r="A26" s="1"/>
      <c r="B26" s="73" t="s">
        <v>267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7" customFormat="false" ht="13.5" hidden="false" customHeight="true" outlineLevel="0" collapsed="false">
      <c r="A27" s="1"/>
      <c r="B27" s="46" t="s">
        <v>217</v>
      </c>
      <c r="C27" s="46"/>
      <c r="D27" s="46"/>
      <c r="E27" s="46"/>
      <c r="F27" s="46"/>
      <c r="G27" s="46"/>
      <c r="H27" s="46" t="s">
        <v>218</v>
      </c>
      <c r="I27" s="46"/>
      <c r="J27" s="46"/>
      <c r="K27" s="46" t="s">
        <v>263</v>
      </c>
      <c r="L27" s="46"/>
      <c r="M27" s="46"/>
    </row>
    <row r="28" customFormat="false" ht="21" hidden="false" customHeight="true" outlineLevel="0" collapsed="false">
      <c r="A28" s="1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</row>
    <row r="29" customFormat="false" ht="13.5" hidden="false" customHeight="true" outlineLevel="0" collapsed="false">
      <c r="A29" s="1"/>
      <c r="B29" s="46" t="s">
        <v>242</v>
      </c>
      <c r="C29" s="46"/>
      <c r="D29" s="46"/>
      <c r="E29" s="46"/>
      <c r="F29" s="46"/>
      <c r="G29" s="46"/>
      <c r="H29" s="1"/>
      <c r="I29" s="1"/>
      <c r="J29" s="1"/>
      <c r="K29" s="1"/>
      <c r="L29" s="1"/>
      <c r="M29" s="1"/>
    </row>
    <row r="30" customFormat="false" ht="21" hidden="false" customHeight="true" outlineLevel="0" collapsed="false">
      <c r="A30" s="1"/>
      <c r="B30" s="40"/>
      <c r="C30" s="40"/>
      <c r="D30" s="40"/>
      <c r="E30" s="40"/>
      <c r="F30" s="40"/>
      <c r="G30" s="40"/>
      <c r="H30" s="1"/>
      <c r="I30" s="1"/>
      <c r="J30" s="1"/>
      <c r="K30" s="1"/>
      <c r="L30" s="1"/>
      <c r="M30" s="1"/>
    </row>
    <row r="31" customFormat="false" ht="16.5" hidden="false" customHeight="true" outlineLevel="0" collapsed="false">
      <c r="A31" s="1"/>
      <c r="B31" s="73" t="s">
        <v>268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</row>
    <row r="32" customFormat="false" ht="13.5" hidden="false" customHeight="true" outlineLevel="0" collapsed="false">
      <c r="A32" s="1"/>
      <c r="B32" s="46" t="s">
        <v>217</v>
      </c>
      <c r="C32" s="46"/>
      <c r="D32" s="46"/>
      <c r="E32" s="46"/>
      <c r="F32" s="46"/>
      <c r="G32" s="46"/>
      <c r="H32" s="46" t="s">
        <v>218</v>
      </c>
      <c r="I32" s="46"/>
      <c r="J32" s="46"/>
      <c r="K32" s="46" t="s">
        <v>263</v>
      </c>
      <c r="L32" s="46"/>
      <c r="M32" s="46"/>
    </row>
    <row r="33" customFormat="false" ht="21" hidden="false" customHeight="true" outlineLevel="0" collapsed="false">
      <c r="A33" s="1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customFormat="false" ht="13.5" hidden="false" customHeight="true" outlineLevel="0" collapsed="false">
      <c r="A34" s="1"/>
      <c r="B34" s="46"/>
      <c r="C34" s="46"/>
      <c r="D34" s="46"/>
      <c r="E34" s="46"/>
      <c r="F34" s="46"/>
      <c r="G34" s="46"/>
      <c r="H34" s="1"/>
      <c r="I34" s="1"/>
      <c r="J34" s="1"/>
      <c r="K34" s="1"/>
      <c r="L34" s="1"/>
      <c r="M34" s="1"/>
    </row>
    <row r="35" customFormat="false" ht="21" hidden="false" customHeight="true" outlineLevel="0" collapsed="false">
      <c r="A35" s="1"/>
      <c r="B35" s="74"/>
      <c r="C35" s="15" t="s">
        <v>269</v>
      </c>
      <c r="D35" s="15"/>
      <c r="E35" s="15"/>
      <c r="F35" s="15"/>
      <c r="G35" s="15"/>
      <c r="H35" s="1"/>
      <c r="I35" s="1"/>
      <c r="J35" s="1"/>
      <c r="K35" s="1"/>
      <c r="L35" s="1"/>
      <c r="M35" s="1"/>
    </row>
    <row r="36" customFormat="false" ht="7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9.5" hidden="false" customHeight="true" outlineLevel="0" collapsed="false">
      <c r="A37" s="1"/>
      <c r="B37" s="66" t="s">
        <v>102</v>
      </c>
      <c r="C37" s="67" t="s">
        <v>270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</row>
    <row r="38" customFormat="false" ht="25.5" hidden="false" customHeight="true" outlineLevel="0" collapsed="false">
      <c r="A38" s="1"/>
      <c r="B38" s="68" t="s">
        <v>96</v>
      </c>
      <c r="C38" s="69" t="s">
        <v>271</v>
      </c>
      <c r="D38" s="69"/>
      <c r="E38" s="69"/>
      <c r="F38" s="69" t="s">
        <v>272</v>
      </c>
      <c r="G38" s="69"/>
      <c r="H38" s="68" t="s">
        <v>156</v>
      </c>
      <c r="I38" s="69" t="s">
        <v>99</v>
      </c>
      <c r="J38" s="69"/>
      <c r="K38" s="69" t="s">
        <v>203</v>
      </c>
      <c r="L38" s="69"/>
      <c r="M38" s="68" t="s">
        <v>273</v>
      </c>
    </row>
    <row r="39" customFormat="false" ht="19.5" hidden="false" customHeight="true" outlineLevel="0" collapsed="false">
      <c r="A39" s="1"/>
      <c r="B39" s="50" t="n">
        <v>1</v>
      </c>
      <c r="C39" s="51"/>
      <c r="D39" s="51"/>
      <c r="E39" s="51"/>
      <c r="F39" s="51"/>
      <c r="G39" s="51"/>
      <c r="H39" s="52"/>
      <c r="I39" s="51"/>
      <c r="J39" s="51"/>
      <c r="K39" s="51"/>
      <c r="L39" s="51"/>
      <c r="M39" s="74"/>
    </row>
    <row r="40" customFormat="false" ht="19.5" hidden="false" customHeight="true" outlineLevel="0" collapsed="false">
      <c r="A40" s="1"/>
      <c r="B40" s="50" t="n">
        <v>2</v>
      </c>
      <c r="C40" s="51"/>
      <c r="D40" s="51"/>
      <c r="E40" s="51"/>
      <c r="F40" s="51"/>
      <c r="G40" s="51"/>
      <c r="H40" s="52"/>
      <c r="I40" s="51"/>
      <c r="J40" s="51"/>
      <c r="K40" s="51"/>
      <c r="L40" s="51"/>
      <c r="M40" s="74"/>
    </row>
    <row r="41" customFormat="false" ht="19.5" hidden="false" customHeight="true" outlineLevel="0" collapsed="false">
      <c r="A41" s="1"/>
      <c r="B41" s="50" t="n">
        <v>3</v>
      </c>
      <c r="C41" s="51"/>
      <c r="D41" s="51"/>
      <c r="E41" s="51"/>
      <c r="F41" s="51"/>
      <c r="G41" s="51"/>
      <c r="H41" s="52"/>
      <c r="I41" s="51"/>
      <c r="J41" s="51"/>
      <c r="K41" s="51"/>
      <c r="L41" s="51"/>
      <c r="M41" s="74"/>
    </row>
    <row r="42" customFormat="false" ht="19.5" hidden="false" customHeight="true" outlineLevel="0" collapsed="false">
      <c r="A42" s="1"/>
      <c r="B42" s="50" t="n">
        <v>4</v>
      </c>
      <c r="C42" s="51"/>
      <c r="D42" s="51"/>
      <c r="E42" s="51"/>
      <c r="F42" s="51"/>
      <c r="G42" s="51"/>
      <c r="H42" s="52"/>
      <c r="I42" s="51"/>
      <c r="J42" s="51"/>
      <c r="K42" s="51"/>
      <c r="L42" s="51"/>
      <c r="M42" s="74"/>
    </row>
    <row r="43" customFormat="false" ht="13.5" hidden="false" customHeight="true" outlineLevel="0" collapsed="false">
      <c r="A43" s="1"/>
      <c r="B43" s="53" t="s">
        <v>101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customFormat="false" ht="7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9.5" hidden="false" customHeight="true" outlineLevel="0" collapsed="false">
      <c r="A45" s="1"/>
      <c r="B45" s="66" t="s">
        <v>107</v>
      </c>
      <c r="C45" s="67" t="s">
        <v>274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</row>
    <row r="46" customFormat="false" ht="13.5" hidden="false" customHeight="true" outlineLevel="0" collapsed="false">
      <c r="A46" s="1"/>
      <c r="B46" s="46" t="s">
        <v>275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</row>
    <row r="47" customFormat="false" ht="81" hidden="false" customHeight="true" outlineLevel="0" collapsed="false">
      <c r="A47" s="1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customFormat="false" ht="18" hidden="false" customHeight="true" outlineLevel="0" collapsed="false">
      <c r="A48" s="1"/>
      <c r="B48" s="68" t="s">
        <v>96</v>
      </c>
      <c r="C48" s="69" t="s">
        <v>276</v>
      </c>
      <c r="D48" s="69"/>
      <c r="E48" s="69"/>
      <c r="F48" s="69"/>
      <c r="G48" s="69"/>
      <c r="H48" s="69"/>
      <c r="I48" s="69" t="s">
        <v>277</v>
      </c>
      <c r="J48" s="69"/>
      <c r="K48" s="69"/>
      <c r="L48" s="68" t="s">
        <v>278</v>
      </c>
      <c r="M48" s="68" t="s">
        <v>279</v>
      </c>
    </row>
    <row r="49" customFormat="false" ht="19.5" hidden="false" customHeight="true" outlineLevel="0" collapsed="false">
      <c r="A49" s="1"/>
      <c r="B49" s="50" t="n">
        <v>1</v>
      </c>
      <c r="C49" s="51"/>
      <c r="D49" s="51"/>
      <c r="E49" s="51"/>
      <c r="F49" s="51"/>
      <c r="G49" s="51"/>
      <c r="H49" s="51"/>
      <c r="I49" s="51"/>
      <c r="J49" s="51"/>
      <c r="K49" s="51"/>
      <c r="L49" s="71"/>
      <c r="M49" s="74"/>
    </row>
    <row r="50" customFormat="false" ht="19.5" hidden="false" customHeight="true" outlineLevel="0" collapsed="false">
      <c r="A50" s="1"/>
      <c r="B50" s="50" t="n">
        <v>2</v>
      </c>
      <c r="C50" s="51"/>
      <c r="D50" s="51"/>
      <c r="E50" s="51"/>
      <c r="F50" s="51"/>
      <c r="G50" s="51"/>
      <c r="H50" s="51"/>
      <c r="I50" s="51"/>
      <c r="J50" s="51"/>
      <c r="K50" s="51"/>
      <c r="L50" s="71"/>
      <c r="M50" s="74"/>
    </row>
    <row r="51" customFormat="false" ht="19.5" hidden="false" customHeight="true" outlineLevel="0" collapsed="false">
      <c r="A51" s="1"/>
      <c r="B51" s="50" t="n">
        <v>3</v>
      </c>
      <c r="C51" s="51"/>
      <c r="D51" s="51"/>
      <c r="E51" s="51"/>
      <c r="F51" s="51"/>
      <c r="G51" s="51"/>
      <c r="H51" s="51"/>
      <c r="I51" s="51"/>
      <c r="J51" s="51"/>
      <c r="K51" s="51"/>
      <c r="L51" s="71"/>
      <c r="M51" s="74"/>
    </row>
    <row r="52" customFormat="false" ht="19.5" hidden="false" customHeight="true" outlineLevel="0" collapsed="false">
      <c r="A52" s="1"/>
      <c r="B52" s="50" t="n">
        <v>4</v>
      </c>
      <c r="C52" s="51"/>
      <c r="D52" s="51"/>
      <c r="E52" s="51"/>
      <c r="F52" s="51"/>
      <c r="G52" s="51"/>
      <c r="H52" s="51"/>
      <c r="I52" s="51"/>
      <c r="J52" s="51"/>
      <c r="K52" s="51"/>
      <c r="L52" s="71"/>
      <c r="M52" s="74"/>
    </row>
    <row r="53" customFormat="false" ht="19.5" hidden="false" customHeight="true" outlineLevel="0" collapsed="false">
      <c r="A53" s="1"/>
      <c r="B53" s="50" t="n">
        <v>5</v>
      </c>
      <c r="C53" s="51"/>
      <c r="D53" s="51"/>
      <c r="E53" s="51"/>
      <c r="F53" s="51"/>
      <c r="G53" s="51"/>
      <c r="H53" s="51"/>
      <c r="I53" s="51"/>
      <c r="J53" s="51"/>
      <c r="K53" s="51"/>
      <c r="L53" s="71"/>
      <c r="M53" s="74"/>
    </row>
    <row r="54" customFormat="false" ht="19.5" hidden="false" customHeight="true" outlineLevel="0" collapsed="false">
      <c r="A54" s="1"/>
      <c r="B54" s="50" t="n">
        <v>6</v>
      </c>
      <c r="C54" s="51"/>
      <c r="D54" s="51"/>
      <c r="E54" s="51"/>
      <c r="F54" s="51"/>
      <c r="G54" s="51"/>
      <c r="H54" s="51"/>
      <c r="I54" s="51"/>
      <c r="J54" s="51"/>
      <c r="K54" s="51"/>
      <c r="L54" s="71"/>
      <c r="M54" s="74"/>
    </row>
    <row r="55" customFormat="false" ht="19.5" hidden="false" customHeight="true" outlineLevel="0" collapsed="false">
      <c r="A55" s="1"/>
      <c r="B55" s="50" t="n">
        <v>7</v>
      </c>
      <c r="C55" s="51"/>
      <c r="D55" s="51"/>
      <c r="E55" s="51"/>
      <c r="F55" s="51"/>
      <c r="G55" s="51"/>
      <c r="H55" s="51"/>
      <c r="I55" s="51"/>
      <c r="J55" s="51"/>
      <c r="K55" s="51"/>
      <c r="L55" s="71"/>
      <c r="M55" s="74"/>
    </row>
    <row r="56" customFormat="false" ht="13.5" hidden="false" customHeight="true" outlineLevel="0" collapsed="false">
      <c r="A56" s="1"/>
      <c r="B56" s="53" t="s">
        <v>101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customFormat="false" ht="13.5" hidden="false" customHeight="true" outlineLevel="0" collapsed="false">
      <c r="A57" s="1"/>
      <c r="B57" s="46" t="s">
        <v>280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</row>
    <row r="58" customFormat="false" ht="21" hidden="false" customHeight="true" outlineLevel="0" collapsed="false">
      <c r="A58" s="1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</row>
    <row r="59" customFormat="false" ht="9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3.5" hidden="false" customHeight="true" outlineLevel="0" collapsed="false">
      <c r="A60" s="1"/>
      <c r="B60" s="55" t="s">
        <v>281</v>
      </c>
      <c r="C60" s="55"/>
      <c r="D60" s="55"/>
      <c r="E60" s="55"/>
      <c r="F60" s="55"/>
      <c r="G60" s="55"/>
      <c r="H60" s="55"/>
      <c r="I60" s="56" t="s">
        <v>119</v>
      </c>
      <c r="J60" s="56"/>
      <c r="K60" s="56"/>
      <c r="L60" s="56"/>
      <c r="M60" s="56"/>
    </row>
  </sheetData>
  <mergeCells count="100">
    <mergeCell ref="K1:M1"/>
    <mergeCell ref="B2:I2"/>
    <mergeCell ref="L2:M2"/>
    <mergeCell ref="B3:I3"/>
    <mergeCell ref="L3:M3"/>
    <mergeCell ref="B5:M5"/>
    <mergeCell ref="B6:M6"/>
    <mergeCell ref="B7:M7"/>
    <mergeCell ref="C9:M9"/>
    <mergeCell ref="B10:F10"/>
    <mergeCell ref="G10:M10"/>
    <mergeCell ref="B11:F11"/>
    <mergeCell ref="G11:M11"/>
    <mergeCell ref="B12:J12"/>
    <mergeCell ref="K12:M12"/>
    <mergeCell ref="B13:J13"/>
    <mergeCell ref="K13:M13"/>
    <mergeCell ref="C15:M15"/>
    <mergeCell ref="B16:M16"/>
    <mergeCell ref="B17:G17"/>
    <mergeCell ref="H17:J17"/>
    <mergeCell ref="K17:M17"/>
    <mergeCell ref="B18:G18"/>
    <mergeCell ref="H18:J18"/>
    <mergeCell ref="K18:M18"/>
    <mergeCell ref="B19:G19"/>
    <mergeCell ref="B20:G20"/>
    <mergeCell ref="B21:M21"/>
    <mergeCell ref="B22:G22"/>
    <mergeCell ref="H22:J22"/>
    <mergeCell ref="K22:M22"/>
    <mergeCell ref="B23:G23"/>
    <mergeCell ref="H23:J23"/>
    <mergeCell ref="K23:M23"/>
    <mergeCell ref="B24:G24"/>
    <mergeCell ref="B25:G25"/>
    <mergeCell ref="B26:M26"/>
    <mergeCell ref="B27:G27"/>
    <mergeCell ref="H27:J27"/>
    <mergeCell ref="K27:M27"/>
    <mergeCell ref="B28:G28"/>
    <mergeCell ref="H28:J28"/>
    <mergeCell ref="K28:M28"/>
    <mergeCell ref="B29:G29"/>
    <mergeCell ref="B30:G30"/>
    <mergeCell ref="B31:M31"/>
    <mergeCell ref="B32:G32"/>
    <mergeCell ref="H32:J32"/>
    <mergeCell ref="K32:M32"/>
    <mergeCell ref="B33:G33"/>
    <mergeCell ref="H33:J33"/>
    <mergeCell ref="K33:M33"/>
    <mergeCell ref="B34:G34"/>
    <mergeCell ref="C35:G35"/>
    <mergeCell ref="C37:M37"/>
    <mergeCell ref="C38:E38"/>
    <mergeCell ref="F38:G38"/>
    <mergeCell ref="I38:J38"/>
    <mergeCell ref="K38:L38"/>
    <mergeCell ref="C39:E39"/>
    <mergeCell ref="F39:G39"/>
    <mergeCell ref="I39:J39"/>
    <mergeCell ref="K39:L39"/>
    <mergeCell ref="C40:E40"/>
    <mergeCell ref="F40:G40"/>
    <mergeCell ref="I40:J40"/>
    <mergeCell ref="K40:L40"/>
    <mergeCell ref="C41:E41"/>
    <mergeCell ref="F41:G41"/>
    <mergeCell ref="I41:J41"/>
    <mergeCell ref="K41:L41"/>
    <mergeCell ref="C42:E42"/>
    <mergeCell ref="F42:G42"/>
    <mergeCell ref="I42:J42"/>
    <mergeCell ref="K42:L42"/>
    <mergeCell ref="B43:M43"/>
    <mergeCell ref="C45:M45"/>
    <mergeCell ref="B46:M46"/>
    <mergeCell ref="B47:M47"/>
    <mergeCell ref="C48:H48"/>
    <mergeCell ref="I48:K48"/>
    <mergeCell ref="C49:H49"/>
    <mergeCell ref="I49:K49"/>
    <mergeCell ref="C50:H50"/>
    <mergeCell ref="I50:K50"/>
    <mergeCell ref="C51:H51"/>
    <mergeCell ref="I51:K51"/>
    <mergeCell ref="C52:H52"/>
    <mergeCell ref="I52:K52"/>
    <mergeCell ref="C53:H53"/>
    <mergeCell ref="I53:K53"/>
    <mergeCell ref="C54:H54"/>
    <mergeCell ref="I54:K54"/>
    <mergeCell ref="C55:H55"/>
    <mergeCell ref="I55:K55"/>
    <mergeCell ref="B56:M56"/>
    <mergeCell ref="B57:M57"/>
    <mergeCell ref="B58:M58"/>
    <mergeCell ref="B60:H60"/>
    <mergeCell ref="I60:M60"/>
  </mergeCells>
  <dataValidations count="6"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H39:H42" type="decimal">
      <formula1>0</formula1>
      <formula2>0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K13 L49:L55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K18 K23 K28 K33" type="list">
      <formula1>Listas!$K$2:$K$3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5 M39:M42 M49:M55" type="list">
      <formula1>Listas!$L$2:$L$2</formula1>
      <formula2>0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I39:I42" type="list">
      <formula1>Listas!$A$2:$A$11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58" type="list">
      <formula1>Listas!$M$2:$M$3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F08 · Ficha preparatória de informações para MTR · Modelo interno v1.0&amp;R&amp;"Arial,Regular"&amp;7 Página &amp;P de &amp;N</oddFooter>
  </headerFooter>
  <rowBreaks count="1" manualBreakCount="1">
    <brk id="43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E8C"/>
    <pageSetUpPr fitToPage="tru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60" t="s">
        <v>282</v>
      </c>
      <c r="C2" s="60"/>
      <c r="D2" s="60"/>
      <c r="E2" s="60"/>
      <c r="F2" s="60"/>
      <c r="G2" s="60"/>
      <c r="H2" s="60"/>
      <c r="I2" s="60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61" t="s">
        <v>58</v>
      </c>
      <c r="C3" s="61"/>
      <c r="D3" s="61"/>
      <c r="E3" s="61"/>
      <c r="F3" s="61"/>
      <c r="G3" s="61"/>
      <c r="H3" s="61"/>
      <c r="I3" s="61"/>
      <c r="J3" s="62" t="s">
        <v>57</v>
      </c>
      <c r="K3" s="63" t="s">
        <v>84</v>
      </c>
      <c r="L3" s="40"/>
      <c r="M3" s="40"/>
    </row>
    <row r="4" customFormat="false" ht="6" hidden="false" customHeight="true" outlineLevel="0" collapsed="false">
      <c r="A4" s="1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customFormat="false" ht="15.75" hidden="false" customHeight="true" outlineLevel="0" collapsed="false">
      <c r="A5" s="1"/>
      <c r="B5" s="42" t="s">
        <v>283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65" t="s">
        <v>284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66" t="s">
        <v>87</v>
      </c>
      <c r="C8" s="67" t="s">
        <v>258</v>
      </c>
      <c r="D8" s="67"/>
      <c r="E8" s="67"/>
      <c r="F8" s="67"/>
      <c r="G8" s="67"/>
      <c r="H8" s="67"/>
      <c r="I8" s="67"/>
      <c r="J8" s="67"/>
      <c r="K8" s="67"/>
      <c r="L8" s="67"/>
      <c r="M8" s="67"/>
    </row>
    <row r="9" customFormat="false" ht="13.5" hidden="false" customHeight="true" outlineLevel="0" collapsed="false">
      <c r="A9" s="1"/>
      <c r="B9" s="46" t="s">
        <v>198</v>
      </c>
      <c r="C9" s="46"/>
      <c r="D9" s="46"/>
      <c r="E9" s="46"/>
      <c r="F9" s="46" t="s">
        <v>285</v>
      </c>
      <c r="G9" s="46"/>
      <c r="H9" s="46"/>
      <c r="I9" s="46"/>
      <c r="J9" s="46"/>
      <c r="K9" s="46" t="s">
        <v>170</v>
      </c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7"/>
      <c r="L10" s="47"/>
      <c r="M10" s="47"/>
    </row>
    <row r="11" customFormat="false" ht="7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customFormat="false" ht="19.5" hidden="false" customHeight="true" outlineLevel="0" collapsed="false">
      <c r="A12" s="1"/>
      <c r="B12" s="66" t="s">
        <v>94</v>
      </c>
      <c r="C12" s="67" t="s">
        <v>286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</row>
    <row r="13" customFormat="false" ht="18" hidden="false" customHeight="true" outlineLevel="0" collapsed="false">
      <c r="A13" s="1"/>
      <c r="B13" s="68" t="s">
        <v>96</v>
      </c>
      <c r="C13" s="75" t="s">
        <v>287</v>
      </c>
      <c r="D13" s="75"/>
      <c r="E13" s="75"/>
      <c r="F13" s="75"/>
      <c r="G13" s="75"/>
      <c r="H13" s="75"/>
      <c r="I13" s="68" t="s">
        <v>229</v>
      </c>
      <c r="J13" s="68"/>
      <c r="K13" s="75" t="s">
        <v>288</v>
      </c>
      <c r="L13" s="75"/>
      <c r="M13" s="75"/>
    </row>
    <row r="14" customFormat="false" ht="19.5" hidden="false" customHeight="true" outlineLevel="0" collapsed="false">
      <c r="A14" s="1"/>
      <c r="B14" s="50" t="n">
        <v>1</v>
      </c>
      <c r="C14" s="76" t="s">
        <v>289</v>
      </c>
      <c r="D14" s="76"/>
      <c r="E14" s="76"/>
      <c r="F14" s="76"/>
      <c r="G14" s="76"/>
      <c r="H14" s="76"/>
      <c r="I14" s="59"/>
      <c r="J14" s="59"/>
      <c r="K14" s="51"/>
      <c r="L14" s="51"/>
      <c r="M14" s="51"/>
    </row>
    <row r="15" customFormat="false" ht="19.5" hidden="false" customHeight="true" outlineLevel="0" collapsed="false">
      <c r="A15" s="1"/>
      <c r="B15" s="50" t="n">
        <v>2</v>
      </c>
      <c r="C15" s="76" t="s">
        <v>290</v>
      </c>
      <c r="D15" s="76"/>
      <c r="E15" s="76"/>
      <c r="F15" s="76"/>
      <c r="G15" s="76"/>
      <c r="H15" s="76"/>
      <c r="I15" s="59"/>
      <c r="J15" s="59"/>
      <c r="K15" s="51"/>
      <c r="L15" s="51"/>
      <c r="M15" s="51"/>
    </row>
    <row r="16" customFormat="false" ht="19.5" hidden="false" customHeight="true" outlineLevel="0" collapsed="false">
      <c r="A16" s="1"/>
      <c r="B16" s="50" t="n">
        <v>3</v>
      </c>
      <c r="C16" s="76" t="s">
        <v>291</v>
      </c>
      <c r="D16" s="76"/>
      <c r="E16" s="76"/>
      <c r="F16" s="76"/>
      <c r="G16" s="76"/>
      <c r="H16" s="76"/>
      <c r="I16" s="59"/>
      <c r="J16" s="59"/>
      <c r="K16" s="51"/>
      <c r="L16" s="51"/>
      <c r="M16" s="51"/>
    </row>
    <row r="17" customFormat="false" ht="19.5" hidden="false" customHeight="true" outlineLevel="0" collapsed="false">
      <c r="A17" s="1"/>
      <c r="B17" s="50" t="n">
        <v>4</v>
      </c>
      <c r="C17" s="76" t="s">
        <v>292</v>
      </c>
      <c r="D17" s="76"/>
      <c r="E17" s="76"/>
      <c r="F17" s="76"/>
      <c r="G17" s="76"/>
      <c r="H17" s="76"/>
      <c r="I17" s="59"/>
      <c r="J17" s="59"/>
      <c r="K17" s="51"/>
      <c r="L17" s="51"/>
      <c r="M17" s="51"/>
    </row>
    <row r="18" customFormat="false" ht="27.75" hidden="false" customHeight="true" outlineLevel="0" collapsed="false">
      <c r="A18" s="1"/>
      <c r="B18" s="50" t="n">
        <v>5</v>
      </c>
      <c r="C18" s="76" t="s">
        <v>293</v>
      </c>
      <c r="D18" s="76"/>
      <c r="E18" s="76"/>
      <c r="F18" s="76"/>
      <c r="G18" s="76"/>
      <c r="H18" s="76"/>
      <c r="I18" s="59"/>
      <c r="J18" s="59"/>
      <c r="K18" s="51"/>
      <c r="L18" s="51"/>
      <c r="M18" s="51"/>
    </row>
    <row r="19" customFormat="false" ht="19.5" hidden="false" customHeight="true" outlineLevel="0" collapsed="false">
      <c r="A19" s="1"/>
      <c r="B19" s="50" t="n">
        <v>6</v>
      </c>
      <c r="C19" s="76" t="s">
        <v>294</v>
      </c>
      <c r="D19" s="76"/>
      <c r="E19" s="76"/>
      <c r="F19" s="76"/>
      <c r="G19" s="76"/>
      <c r="H19" s="76"/>
      <c r="I19" s="59"/>
      <c r="J19" s="59"/>
      <c r="K19" s="51"/>
      <c r="L19" s="51"/>
      <c r="M19" s="51"/>
    </row>
    <row r="20" customFormat="false" ht="19.5" hidden="false" customHeight="true" outlineLevel="0" collapsed="false">
      <c r="A20" s="1"/>
      <c r="B20" s="50" t="n">
        <v>7</v>
      </c>
      <c r="C20" s="76" t="s">
        <v>295</v>
      </c>
      <c r="D20" s="76"/>
      <c r="E20" s="76"/>
      <c r="F20" s="76"/>
      <c r="G20" s="76"/>
      <c r="H20" s="76"/>
      <c r="I20" s="59"/>
      <c r="J20" s="59"/>
      <c r="K20" s="51"/>
      <c r="L20" s="51"/>
      <c r="M20" s="51"/>
    </row>
    <row r="21" customFormat="false" ht="27.75" hidden="false" customHeight="true" outlineLevel="0" collapsed="false">
      <c r="A21" s="1"/>
      <c r="B21" s="50" t="n">
        <v>8</v>
      </c>
      <c r="C21" s="76" t="s">
        <v>296</v>
      </c>
      <c r="D21" s="76"/>
      <c r="E21" s="76"/>
      <c r="F21" s="76"/>
      <c r="G21" s="76"/>
      <c r="H21" s="76"/>
      <c r="I21" s="59"/>
      <c r="J21" s="59"/>
      <c r="K21" s="51"/>
      <c r="L21" s="51"/>
      <c r="M21" s="51"/>
    </row>
    <row r="22" customFormat="false" ht="19.5" hidden="false" customHeight="true" outlineLevel="0" collapsed="false">
      <c r="A22" s="1"/>
      <c r="B22" s="50" t="n">
        <v>9</v>
      </c>
      <c r="C22" s="77"/>
      <c r="D22" s="77"/>
      <c r="E22" s="77"/>
      <c r="F22" s="77"/>
      <c r="G22" s="77"/>
      <c r="H22" s="77"/>
      <c r="I22" s="59"/>
      <c r="J22" s="59"/>
      <c r="K22" s="51"/>
      <c r="L22" s="51"/>
      <c r="M22" s="51"/>
    </row>
    <row r="23" customFormat="false" ht="19.5" hidden="false" customHeight="true" outlineLevel="0" collapsed="false">
      <c r="A23" s="1"/>
      <c r="B23" s="50" t="n">
        <v>10</v>
      </c>
      <c r="C23" s="77"/>
      <c r="D23" s="77"/>
      <c r="E23" s="77"/>
      <c r="F23" s="77"/>
      <c r="G23" s="77"/>
      <c r="H23" s="77"/>
      <c r="I23" s="59"/>
      <c r="J23" s="59"/>
      <c r="K23" s="51"/>
      <c r="L23" s="51"/>
      <c r="M23" s="51"/>
    </row>
    <row r="24" customFormat="false" ht="13.5" hidden="false" customHeight="true" outlineLevel="0" collapsed="false">
      <c r="A24" s="1"/>
      <c r="B24" s="53" t="s">
        <v>297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customFormat="false" ht="7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9.5" hidden="false" customHeight="true" outlineLevel="0" collapsed="false">
      <c r="A26" s="1"/>
      <c r="B26" s="66" t="s">
        <v>102</v>
      </c>
      <c r="C26" s="67" t="s">
        <v>298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7" customFormat="false" ht="13.5" hidden="false" customHeight="true" outlineLevel="0" collapsed="false">
      <c r="A27" s="1"/>
      <c r="B27" s="46" t="s">
        <v>299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customFormat="false" ht="21" hidden="false" customHeight="true" outlineLevel="0" collapsed="false">
      <c r="A28" s="1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</row>
    <row r="29" customFormat="false" ht="13.5" hidden="false" customHeight="true" outlineLevel="0" collapsed="false">
      <c r="A29" s="1"/>
      <c r="B29" s="46" t="s">
        <v>300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customFormat="false" ht="51" hidden="false" customHeight="true" outlineLevel="0" collapsed="false">
      <c r="A30" s="1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</row>
    <row r="31" customFormat="false" ht="7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9.5" hidden="false" customHeight="true" outlineLevel="0" collapsed="false">
      <c r="A32" s="1"/>
      <c r="B32" s="66" t="s">
        <v>107</v>
      </c>
      <c r="C32" s="67" t="s">
        <v>115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</row>
    <row r="33" customFormat="false" ht="13.5" hidden="false" customHeight="true" outlineLevel="0" collapsed="false">
      <c r="A33" s="1"/>
      <c r="B33" s="46" t="s">
        <v>171</v>
      </c>
      <c r="C33" s="46"/>
      <c r="D33" s="46"/>
      <c r="E33" s="46"/>
      <c r="F33" s="46"/>
      <c r="G33" s="46"/>
      <c r="H33" s="46" t="s">
        <v>170</v>
      </c>
      <c r="I33" s="46"/>
      <c r="J33" s="46"/>
      <c r="K33" s="46" t="s">
        <v>172</v>
      </c>
      <c r="L33" s="46"/>
      <c r="M33" s="46"/>
    </row>
    <row r="34" customFormat="false" ht="21" hidden="false" customHeight="true" outlineLevel="0" collapsed="false">
      <c r="A34" s="1"/>
      <c r="B34" s="40"/>
      <c r="C34" s="40"/>
      <c r="D34" s="40"/>
      <c r="E34" s="40"/>
      <c r="F34" s="40"/>
      <c r="G34" s="40"/>
      <c r="H34" s="47"/>
      <c r="I34" s="47"/>
      <c r="J34" s="47"/>
      <c r="K34" s="58"/>
      <c r="L34" s="58"/>
      <c r="M34" s="58"/>
    </row>
    <row r="35" customFormat="false" ht="13.5" hidden="false" customHeight="true" outlineLevel="0" collapsed="false">
      <c r="A35" s="1"/>
      <c r="B35" s="46" t="s">
        <v>143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customFormat="false" ht="36" hidden="false" customHeight="true" outlineLevel="0" collapsed="false">
      <c r="A36" s="1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customFormat="false" ht="9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3.5" hidden="false" customHeight="true" outlineLevel="0" collapsed="false">
      <c r="A38" s="1"/>
      <c r="B38" s="55" t="s">
        <v>301</v>
      </c>
      <c r="C38" s="55"/>
      <c r="D38" s="55"/>
      <c r="E38" s="55"/>
      <c r="F38" s="55"/>
      <c r="G38" s="55"/>
      <c r="H38" s="55"/>
      <c r="I38" s="56" t="s">
        <v>119</v>
      </c>
      <c r="J38" s="56"/>
      <c r="K38" s="56"/>
      <c r="L38" s="56"/>
      <c r="M38" s="56"/>
    </row>
  </sheetData>
  <mergeCells count="65">
    <mergeCell ref="K1:M1"/>
    <mergeCell ref="B2:I2"/>
    <mergeCell ref="L2:M2"/>
    <mergeCell ref="B3:I3"/>
    <mergeCell ref="L3:M3"/>
    <mergeCell ref="B5:M5"/>
    <mergeCell ref="B6:M6"/>
    <mergeCell ref="C8:M8"/>
    <mergeCell ref="B9:E9"/>
    <mergeCell ref="F9:J9"/>
    <mergeCell ref="K9:M9"/>
    <mergeCell ref="B10:E10"/>
    <mergeCell ref="F10:J10"/>
    <mergeCell ref="K10:M10"/>
    <mergeCell ref="C12:M12"/>
    <mergeCell ref="C13:H13"/>
    <mergeCell ref="I13:J13"/>
    <mergeCell ref="K13:M13"/>
    <mergeCell ref="C14:H14"/>
    <mergeCell ref="I14:J14"/>
    <mergeCell ref="K14:M14"/>
    <mergeCell ref="C15:H15"/>
    <mergeCell ref="I15:J15"/>
    <mergeCell ref="K15:M15"/>
    <mergeCell ref="C16:H16"/>
    <mergeCell ref="I16:J16"/>
    <mergeCell ref="K16:M16"/>
    <mergeCell ref="C17:H17"/>
    <mergeCell ref="I17:J17"/>
    <mergeCell ref="K17:M17"/>
    <mergeCell ref="C18:H18"/>
    <mergeCell ref="I18:J18"/>
    <mergeCell ref="K18:M18"/>
    <mergeCell ref="C19:H19"/>
    <mergeCell ref="I19:J19"/>
    <mergeCell ref="K19:M19"/>
    <mergeCell ref="C20:H20"/>
    <mergeCell ref="I20:J20"/>
    <mergeCell ref="K20:M20"/>
    <mergeCell ref="C21:H21"/>
    <mergeCell ref="I21:J21"/>
    <mergeCell ref="K21:M21"/>
    <mergeCell ref="C22:H22"/>
    <mergeCell ref="I22:J22"/>
    <mergeCell ref="K22:M22"/>
    <mergeCell ref="C23:H23"/>
    <mergeCell ref="I23:J23"/>
    <mergeCell ref="K23:M23"/>
    <mergeCell ref="B24:M24"/>
    <mergeCell ref="C26:M26"/>
    <mergeCell ref="B27:M27"/>
    <mergeCell ref="B28:M28"/>
    <mergeCell ref="B29:M29"/>
    <mergeCell ref="B30:M30"/>
    <mergeCell ref="C32:M32"/>
    <mergeCell ref="B33:G33"/>
    <mergeCell ref="H33:J33"/>
    <mergeCell ref="K33:M33"/>
    <mergeCell ref="B34:G34"/>
    <mergeCell ref="H34:J34"/>
    <mergeCell ref="K34:M34"/>
    <mergeCell ref="B35:M35"/>
    <mergeCell ref="B36:M36"/>
    <mergeCell ref="B38:H38"/>
    <mergeCell ref="I38:M38"/>
  </mergeCells>
  <dataValidations count="4">
    <dataValidation allowBlank="false" error="Digite um horário no formato hh:mm, por exemplo 14:30." errorStyle="stop" errorTitle="Horário inválido" operator="between" prompt="Formato hh:mm" promptTitle="Horário" showDropDown="false" showErrorMessage="true" showInputMessage="true" sqref="K34" type="time">
      <formula1>0</formula1>
      <formula2>0.999988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K10 H34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I14:I23" type="list">
      <formula1>Listas!$I$2:$I$4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28" type="list">
      <formula1>Listas!$N$2:$N$3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F09 · Checklist de conferência documental pré-saída · Modelo interno v1.0&amp;R&amp;"Arial,Regular"&amp;7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E8C"/>
    <pageSetUpPr fitToPage="tru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60" t="s">
        <v>302</v>
      </c>
      <c r="C2" s="60"/>
      <c r="D2" s="60"/>
      <c r="E2" s="60"/>
      <c r="F2" s="60"/>
      <c r="G2" s="60"/>
      <c r="H2" s="60"/>
      <c r="I2" s="60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61" t="s">
        <v>61</v>
      </c>
      <c r="C3" s="61"/>
      <c r="D3" s="61"/>
      <c r="E3" s="61"/>
      <c r="F3" s="61"/>
      <c r="G3" s="61"/>
      <c r="H3" s="61"/>
      <c r="I3" s="61"/>
      <c r="J3" s="62" t="s">
        <v>60</v>
      </c>
      <c r="K3" s="63" t="s">
        <v>84</v>
      </c>
      <c r="L3" s="40"/>
      <c r="M3" s="40"/>
    </row>
    <row r="4" customFormat="false" ht="6" hidden="false" customHeight="true" outlineLevel="0" collapsed="false">
      <c r="A4" s="1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customFormat="false" ht="15.75" hidden="false" customHeight="true" outlineLevel="0" collapsed="false">
      <c r="A5" s="1"/>
      <c r="B5" s="42" t="s">
        <v>303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18" hidden="false" customHeight="true" outlineLevel="0" collapsed="false">
      <c r="A6" s="1"/>
      <c r="B6" s="65" t="s">
        <v>304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</row>
    <row r="7" customFormat="false" ht="18" hidden="false" customHeight="true" outlineLevel="0" collapsed="false">
      <c r="A7" s="1"/>
      <c r="B7" s="72" t="s">
        <v>305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</row>
    <row r="8" customFormat="false" ht="7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customFormat="false" ht="19.5" hidden="false" customHeight="true" outlineLevel="0" collapsed="false">
      <c r="A9" s="1"/>
      <c r="B9" s="66" t="s">
        <v>87</v>
      </c>
      <c r="C9" s="67" t="s">
        <v>306</v>
      </c>
      <c r="D9" s="67"/>
      <c r="E9" s="67"/>
      <c r="F9" s="67"/>
      <c r="G9" s="67"/>
      <c r="H9" s="67"/>
      <c r="I9" s="67"/>
      <c r="J9" s="67"/>
      <c r="K9" s="67"/>
      <c r="L9" s="67"/>
      <c r="M9" s="67"/>
    </row>
    <row r="10" customFormat="false" ht="13.5" hidden="false" customHeight="true" outlineLevel="0" collapsed="false">
      <c r="A10" s="1"/>
      <c r="B10" s="46" t="s">
        <v>307</v>
      </c>
      <c r="C10" s="46"/>
      <c r="D10" s="46"/>
      <c r="E10" s="46"/>
      <c r="F10" s="46"/>
      <c r="G10" s="46"/>
      <c r="H10" s="46" t="s">
        <v>308</v>
      </c>
      <c r="I10" s="46"/>
      <c r="J10" s="46"/>
      <c r="K10" s="46"/>
      <c r="L10" s="46"/>
      <c r="M10" s="46"/>
    </row>
    <row r="11" customFormat="false" ht="21" hidden="false" customHeight="true" outlineLevel="0" collapsed="false">
      <c r="A11" s="1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customFormat="false" ht="13.5" hidden="false" customHeight="true" outlineLevel="0" collapsed="false">
      <c r="A12" s="1"/>
      <c r="B12" s="46" t="s">
        <v>170</v>
      </c>
      <c r="C12" s="46"/>
      <c r="D12" s="46"/>
      <c r="E12" s="46" t="s">
        <v>172</v>
      </c>
      <c r="F12" s="46"/>
      <c r="G12" s="46" t="s">
        <v>309</v>
      </c>
      <c r="H12" s="46"/>
      <c r="I12" s="46"/>
      <c r="J12" s="46"/>
      <c r="K12" s="46"/>
      <c r="L12" s="46"/>
      <c r="M12" s="46"/>
    </row>
    <row r="13" customFormat="false" ht="21" hidden="false" customHeight="true" outlineLevel="0" collapsed="false">
      <c r="A13" s="1"/>
      <c r="B13" s="47"/>
      <c r="C13" s="47"/>
      <c r="D13" s="47"/>
      <c r="E13" s="58"/>
      <c r="F13" s="58"/>
      <c r="G13" s="40"/>
      <c r="H13" s="40"/>
      <c r="I13" s="40"/>
      <c r="J13" s="40"/>
      <c r="K13" s="40"/>
      <c r="L13" s="40"/>
      <c r="M13" s="40"/>
    </row>
    <row r="14" customFormat="false" ht="13.5" hidden="false" customHeight="true" outlineLevel="0" collapsed="false">
      <c r="A14" s="1"/>
      <c r="B14" s="46" t="s">
        <v>198</v>
      </c>
      <c r="C14" s="46"/>
      <c r="D14" s="46"/>
      <c r="E14" s="46"/>
      <c r="F14" s="46"/>
      <c r="G14" s="46"/>
      <c r="H14" s="46" t="s">
        <v>266</v>
      </c>
      <c r="I14" s="46"/>
      <c r="J14" s="46"/>
      <c r="K14" s="46"/>
      <c r="L14" s="46"/>
      <c r="M14" s="46"/>
    </row>
    <row r="15" customFormat="false" ht="21" hidden="false" customHeight="true" outlineLevel="0" collapsed="false">
      <c r="A15" s="1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customFormat="false" ht="7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customFormat="false" ht="19.5" hidden="false" customHeight="true" outlineLevel="0" collapsed="false">
      <c r="A17" s="1"/>
      <c r="B17" s="66" t="s">
        <v>94</v>
      </c>
      <c r="C17" s="67" t="s">
        <v>310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</row>
    <row r="18" customFormat="false" ht="25.5" hidden="false" customHeight="true" outlineLevel="0" collapsed="false">
      <c r="A18" s="1"/>
      <c r="B18" s="68" t="s">
        <v>96</v>
      </c>
      <c r="C18" s="69" t="s">
        <v>271</v>
      </c>
      <c r="D18" s="69"/>
      <c r="E18" s="69"/>
      <c r="F18" s="69"/>
      <c r="G18" s="68" t="s">
        <v>311</v>
      </c>
      <c r="H18" s="68"/>
      <c r="I18" s="68" t="s">
        <v>312</v>
      </c>
      <c r="J18" s="69" t="s">
        <v>99</v>
      </c>
      <c r="K18" s="69" t="s">
        <v>288</v>
      </c>
      <c r="L18" s="69"/>
      <c r="M18" s="69"/>
    </row>
    <row r="19" customFormat="false" ht="19.5" hidden="false" customHeight="true" outlineLevel="0" collapsed="false">
      <c r="A19" s="1"/>
      <c r="B19" s="50" t="n">
        <v>1</v>
      </c>
      <c r="C19" s="51"/>
      <c r="D19" s="51"/>
      <c r="E19" s="51"/>
      <c r="F19" s="51"/>
      <c r="G19" s="52"/>
      <c r="H19" s="52"/>
      <c r="I19" s="52"/>
      <c r="J19" s="51"/>
      <c r="K19" s="51"/>
      <c r="L19" s="51"/>
      <c r="M19" s="51"/>
    </row>
    <row r="20" customFormat="false" ht="19.5" hidden="false" customHeight="true" outlineLevel="0" collapsed="false">
      <c r="A20" s="1"/>
      <c r="B20" s="50" t="n">
        <v>2</v>
      </c>
      <c r="C20" s="51"/>
      <c r="D20" s="51"/>
      <c r="E20" s="51"/>
      <c r="F20" s="51"/>
      <c r="G20" s="52"/>
      <c r="H20" s="52"/>
      <c r="I20" s="52"/>
      <c r="J20" s="51"/>
      <c r="K20" s="51"/>
      <c r="L20" s="51"/>
      <c r="M20" s="51"/>
    </row>
    <row r="21" customFormat="false" ht="19.5" hidden="false" customHeight="true" outlineLevel="0" collapsed="false">
      <c r="A21" s="1"/>
      <c r="B21" s="50" t="n">
        <v>3</v>
      </c>
      <c r="C21" s="51"/>
      <c r="D21" s="51"/>
      <c r="E21" s="51"/>
      <c r="F21" s="51"/>
      <c r="G21" s="52"/>
      <c r="H21" s="52"/>
      <c r="I21" s="52"/>
      <c r="J21" s="51"/>
      <c r="K21" s="51"/>
      <c r="L21" s="51"/>
      <c r="M21" s="51"/>
    </row>
    <row r="22" customFormat="false" ht="19.5" hidden="false" customHeight="true" outlineLevel="0" collapsed="false">
      <c r="A22" s="1"/>
      <c r="B22" s="50" t="n">
        <v>4</v>
      </c>
      <c r="C22" s="51"/>
      <c r="D22" s="51"/>
      <c r="E22" s="51"/>
      <c r="F22" s="51"/>
      <c r="G22" s="52"/>
      <c r="H22" s="52"/>
      <c r="I22" s="52"/>
      <c r="J22" s="51"/>
      <c r="K22" s="51"/>
      <c r="L22" s="51"/>
      <c r="M22" s="51"/>
    </row>
    <row r="23" customFormat="false" ht="19.5" hidden="false" customHeight="true" outlineLevel="0" collapsed="false">
      <c r="A23" s="1"/>
      <c r="B23" s="50" t="n">
        <v>5</v>
      </c>
      <c r="C23" s="51"/>
      <c r="D23" s="51"/>
      <c r="E23" s="51"/>
      <c r="F23" s="51"/>
      <c r="G23" s="52"/>
      <c r="H23" s="52"/>
      <c r="I23" s="52"/>
      <c r="J23" s="51"/>
      <c r="K23" s="51"/>
      <c r="L23" s="51"/>
      <c r="M23" s="51"/>
    </row>
    <row r="24" customFormat="false" ht="19.5" hidden="false" customHeight="true" outlineLevel="0" collapsed="false">
      <c r="A24" s="1"/>
      <c r="B24" s="50" t="n">
        <v>6</v>
      </c>
      <c r="C24" s="51"/>
      <c r="D24" s="51"/>
      <c r="E24" s="51"/>
      <c r="F24" s="51"/>
      <c r="G24" s="52"/>
      <c r="H24" s="52"/>
      <c r="I24" s="52"/>
      <c r="J24" s="51"/>
      <c r="K24" s="51"/>
      <c r="L24" s="51"/>
      <c r="M24" s="51"/>
    </row>
    <row r="25" customFormat="false" ht="13.5" hidden="false" customHeight="true" outlineLevel="0" collapsed="false">
      <c r="A25" s="1"/>
      <c r="B25" s="53" t="s">
        <v>101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customFormat="false" ht="7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9.5" hidden="false" customHeight="true" outlineLevel="0" collapsed="false">
      <c r="A27" s="1"/>
      <c r="B27" s="66" t="s">
        <v>102</v>
      </c>
      <c r="C27" s="67" t="s">
        <v>313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</row>
    <row r="28" customFormat="false" ht="13.5" hidden="false" customHeight="true" outlineLevel="0" collapsed="false">
      <c r="A28" s="1"/>
      <c r="B28" s="46" t="s">
        <v>314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customFormat="false" ht="21" hidden="false" customHeight="true" outlineLevel="0" collapsed="false">
      <c r="A29" s="1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</row>
    <row r="30" customFormat="false" ht="13.5" hidden="false" customHeight="true" outlineLevel="0" collapsed="false">
      <c r="A30" s="1"/>
      <c r="B30" s="46" t="s">
        <v>315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customFormat="false" ht="51" hidden="false" customHeight="true" outlineLevel="0" collapsed="false">
      <c r="A31" s="1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customFormat="false" ht="7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9.5" hidden="false" customHeight="true" outlineLevel="0" collapsed="false">
      <c r="A33" s="1"/>
      <c r="B33" s="66" t="s">
        <v>107</v>
      </c>
      <c r="C33" s="67" t="s">
        <v>207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4" customFormat="false" ht="13.5" hidden="false" customHeight="true" outlineLevel="0" collapsed="false">
      <c r="A34" s="1"/>
      <c r="B34" s="46" t="s">
        <v>208</v>
      </c>
      <c r="C34" s="46"/>
      <c r="D34" s="46"/>
      <c r="E34" s="46"/>
      <c r="F34" s="46"/>
      <c r="G34" s="46"/>
      <c r="H34" s="46"/>
      <c r="I34" s="46"/>
      <c r="J34" s="46"/>
      <c r="K34" s="46" t="s">
        <v>117</v>
      </c>
      <c r="L34" s="46"/>
      <c r="M34" s="46"/>
    </row>
    <row r="35" customFormat="false" ht="21" hidden="false" customHeight="true" outlineLevel="0" collapsed="false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7"/>
      <c r="L35" s="47"/>
      <c r="M35" s="47"/>
    </row>
    <row r="36" customFormat="false" ht="13.5" hidden="false" customHeight="true" outlineLevel="0" collapsed="false">
      <c r="A36" s="1"/>
      <c r="B36" s="46" t="s">
        <v>143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customFormat="false" ht="36" hidden="false" customHeight="true" outlineLevel="0" collapsed="false">
      <c r="A37" s="1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customFormat="false" ht="9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3.5" hidden="false" customHeight="true" outlineLevel="0" collapsed="false">
      <c r="A39" s="1"/>
      <c r="B39" s="55" t="s">
        <v>316</v>
      </c>
      <c r="C39" s="55"/>
      <c r="D39" s="55"/>
      <c r="E39" s="55"/>
      <c r="F39" s="55"/>
      <c r="G39" s="55"/>
      <c r="H39" s="55"/>
      <c r="I39" s="56" t="s">
        <v>119</v>
      </c>
      <c r="J39" s="56"/>
      <c r="K39" s="56"/>
      <c r="L39" s="56"/>
      <c r="M39" s="56"/>
    </row>
  </sheetData>
  <mergeCells count="60">
    <mergeCell ref="K1:M1"/>
    <mergeCell ref="B2:I2"/>
    <mergeCell ref="L2:M2"/>
    <mergeCell ref="B3:I3"/>
    <mergeCell ref="L3:M3"/>
    <mergeCell ref="B5:M5"/>
    <mergeCell ref="B6:M6"/>
    <mergeCell ref="B7:M7"/>
    <mergeCell ref="C9:M9"/>
    <mergeCell ref="B10:G10"/>
    <mergeCell ref="H10:M10"/>
    <mergeCell ref="B11:G11"/>
    <mergeCell ref="H11:M11"/>
    <mergeCell ref="B12:D12"/>
    <mergeCell ref="E12:F12"/>
    <mergeCell ref="G12:M12"/>
    <mergeCell ref="B13:D13"/>
    <mergeCell ref="E13:F13"/>
    <mergeCell ref="G13:M13"/>
    <mergeCell ref="B14:G14"/>
    <mergeCell ref="H14:M14"/>
    <mergeCell ref="B15:G15"/>
    <mergeCell ref="H15:M15"/>
    <mergeCell ref="C17:M17"/>
    <mergeCell ref="C18:F18"/>
    <mergeCell ref="G18:H18"/>
    <mergeCell ref="K18:M18"/>
    <mergeCell ref="C19:F19"/>
    <mergeCell ref="G19:H19"/>
    <mergeCell ref="K19:M19"/>
    <mergeCell ref="C20:F20"/>
    <mergeCell ref="G20:H20"/>
    <mergeCell ref="K20:M20"/>
    <mergeCell ref="C21:F21"/>
    <mergeCell ref="G21:H21"/>
    <mergeCell ref="K21:M21"/>
    <mergeCell ref="C22:F22"/>
    <mergeCell ref="G22:H22"/>
    <mergeCell ref="K22:M22"/>
    <mergeCell ref="C23:F23"/>
    <mergeCell ref="G23:H23"/>
    <mergeCell ref="K23:M23"/>
    <mergeCell ref="C24:F24"/>
    <mergeCell ref="G24:H24"/>
    <mergeCell ref="K24:M24"/>
    <mergeCell ref="B25:M25"/>
    <mergeCell ref="C27:M27"/>
    <mergeCell ref="B28:M28"/>
    <mergeCell ref="B29:M29"/>
    <mergeCell ref="B30:M30"/>
    <mergeCell ref="B31:M31"/>
    <mergeCell ref="C33:M33"/>
    <mergeCell ref="B34:J34"/>
    <mergeCell ref="K34:M34"/>
    <mergeCell ref="B35:J35"/>
    <mergeCell ref="K35:M35"/>
    <mergeCell ref="B36:M36"/>
    <mergeCell ref="B37:M37"/>
    <mergeCell ref="B39:H39"/>
    <mergeCell ref="I39:M39"/>
  </mergeCells>
  <dataValidations count="5"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G19:G24 I19:I24" type="decimal">
      <formula1>0</formula1>
      <formula2>0</formula2>
    </dataValidation>
    <dataValidation allowBlank="false" error="Digite um horário no formato hh:mm, por exemplo 14:30." errorStyle="stop" errorTitle="Horário inválido" operator="between" prompt="Formato hh:mm" promptTitle="Horário" showDropDown="false" showErrorMessage="true" showInputMessage="true" sqref="E13" type="time">
      <formula1>0</formula1>
      <formula2>0.999988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B13 K35" type="date">
      <formula1>DATE(2000,1,1)</formula1>
      <formula2>DATE(2100,12,31)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J19:J24" type="list">
      <formula1>Listas!$A$2:$A$11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29" type="list">
      <formula1>Listas!$O$2:$O$3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F10 · Registro de confirmação de retirada · Modelo interno v1.0&amp;R&amp;"Arial,Regular"&amp;7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22"/>
    <pageSetUpPr fitToPage="tru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78" t="s">
        <v>317</v>
      </c>
      <c r="C2" s="78"/>
      <c r="D2" s="78"/>
      <c r="E2" s="78"/>
      <c r="F2" s="78"/>
      <c r="G2" s="78"/>
      <c r="H2" s="78"/>
      <c r="I2" s="78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79" t="s">
        <v>65</v>
      </c>
      <c r="C3" s="79"/>
      <c r="D3" s="79"/>
      <c r="E3" s="79"/>
      <c r="F3" s="79"/>
      <c r="G3" s="79"/>
      <c r="H3" s="79"/>
      <c r="I3" s="79"/>
      <c r="J3" s="80" t="s">
        <v>64</v>
      </c>
      <c r="K3" s="81" t="s">
        <v>84</v>
      </c>
      <c r="L3" s="40"/>
      <c r="M3" s="40"/>
    </row>
    <row r="4" customFormat="false" ht="6" hidden="false" customHeight="true" outlineLevel="0" collapsed="false">
      <c r="A4" s="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customFormat="false" ht="15.75" hidden="false" customHeight="true" outlineLevel="0" collapsed="false">
      <c r="A5" s="1"/>
      <c r="B5" s="42" t="s">
        <v>318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83" t="s">
        <v>319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84" t="s">
        <v>87</v>
      </c>
      <c r="C8" s="85" t="s">
        <v>320</v>
      </c>
      <c r="D8" s="85"/>
      <c r="E8" s="85"/>
      <c r="F8" s="85"/>
      <c r="G8" s="85"/>
      <c r="H8" s="85"/>
      <c r="I8" s="85"/>
      <c r="J8" s="85"/>
      <c r="K8" s="85"/>
      <c r="L8" s="85"/>
      <c r="M8" s="85"/>
    </row>
    <row r="9" customFormat="false" ht="13.5" hidden="false" customHeight="true" outlineLevel="0" collapsed="false">
      <c r="A9" s="1"/>
      <c r="B9" s="46" t="s">
        <v>321</v>
      </c>
      <c r="C9" s="46"/>
      <c r="D9" s="46"/>
      <c r="E9" s="46"/>
      <c r="F9" s="46" t="s">
        <v>322</v>
      </c>
      <c r="G9" s="46"/>
      <c r="H9" s="46"/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323</v>
      </c>
      <c r="C11" s="46"/>
      <c r="D11" s="46"/>
      <c r="E11" s="46"/>
      <c r="F11" s="46"/>
      <c r="G11" s="46"/>
      <c r="H11" s="46" t="s">
        <v>324</v>
      </c>
      <c r="I11" s="46"/>
      <c r="J11" s="46"/>
      <c r="K11" s="46"/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customFormat="false" ht="7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9.5" hidden="false" customHeight="true" outlineLevel="0" collapsed="false">
      <c r="A14" s="1"/>
      <c r="B14" s="84" t="s">
        <v>94</v>
      </c>
      <c r="C14" s="85" t="s">
        <v>325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</row>
    <row r="15" customFormat="false" ht="25.5" hidden="false" customHeight="true" outlineLevel="0" collapsed="false">
      <c r="A15" s="1"/>
      <c r="B15" s="86" t="s">
        <v>96</v>
      </c>
      <c r="C15" s="87" t="s">
        <v>271</v>
      </c>
      <c r="D15" s="87"/>
      <c r="E15" s="87"/>
      <c r="F15" s="87"/>
      <c r="G15" s="86" t="s">
        <v>326</v>
      </c>
      <c r="H15" s="86"/>
      <c r="I15" s="86" t="s">
        <v>327</v>
      </c>
      <c r="J15" s="86"/>
      <c r="K15" s="87" t="s">
        <v>99</v>
      </c>
      <c r="L15" s="86" t="s">
        <v>328</v>
      </c>
      <c r="M15" s="86"/>
    </row>
    <row r="16" customFormat="false" ht="19.5" hidden="false" customHeight="true" outlineLevel="0" collapsed="false">
      <c r="A16" s="1"/>
      <c r="B16" s="50" t="n">
        <v>1</v>
      </c>
      <c r="C16" s="51"/>
      <c r="D16" s="51"/>
      <c r="E16" s="51"/>
      <c r="F16" s="51"/>
      <c r="G16" s="52"/>
      <c r="H16" s="52"/>
      <c r="I16" s="52"/>
      <c r="J16" s="52"/>
      <c r="K16" s="51"/>
      <c r="L16" s="88"/>
      <c r="M16" s="88"/>
    </row>
    <row r="17" customFormat="false" ht="19.5" hidden="false" customHeight="true" outlineLevel="0" collapsed="false">
      <c r="A17" s="1"/>
      <c r="B17" s="50" t="n">
        <v>2</v>
      </c>
      <c r="C17" s="51"/>
      <c r="D17" s="51"/>
      <c r="E17" s="51"/>
      <c r="F17" s="51"/>
      <c r="G17" s="52"/>
      <c r="H17" s="52"/>
      <c r="I17" s="52"/>
      <c r="J17" s="52"/>
      <c r="K17" s="51"/>
      <c r="L17" s="88"/>
      <c r="M17" s="88"/>
    </row>
    <row r="18" customFormat="false" ht="19.5" hidden="false" customHeight="true" outlineLevel="0" collapsed="false">
      <c r="A18" s="1"/>
      <c r="B18" s="50" t="n">
        <v>3</v>
      </c>
      <c r="C18" s="51"/>
      <c r="D18" s="51"/>
      <c r="E18" s="51"/>
      <c r="F18" s="51"/>
      <c r="G18" s="52"/>
      <c r="H18" s="52"/>
      <c r="I18" s="52"/>
      <c r="J18" s="52"/>
      <c r="K18" s="51"/>
      <c r="L18" s="88"/>
      <c r="M18" s="88"/>
    </row>
    <row r="19" customFormat="false" ht="19.5" hidden="false" customHeight="true" outlineLevel="0" collapsed="false">
      <c r="A19" s="1"/>
      <c r="B19" s="50" t="n">
        <v>4</v>
      </c>
      <c r="C19" s="51"/>
      <c r="D19" s="51"/>
      <c r="E19" s="51"/>
      <c r="F19" s="51"/>
      <c r="G19" s="52"/>
      <c r="H19" s="52"/>
      <c r="I19" s="52"/>
      <c r="J19" s="52"/>
      <c r="K19" s="51"/>
      <c r="L19" s="88"/>
      <c r="M19" s="88"/>
    </row>
    <row r="20" customFormat="false" ht="19.5" hidden="false" customHeight="true" outlineLevel="0" collapsed="false">
      <c r="A20" s="1"/>
      <c r="B20" s="50" t="n">
        <v>5</v>
      </c>
      <c r="C20" s="51"/>
      <c r="D20" s="51"/>
      <c r="E20" s="51"/>
      <c r="F20" s="51"/>
      <c r="G20" s="52"/>
      <c r="H20" s="52"/>
      <c r="I20" s="52"/>
      <c r="J20" s="52"/>
      <c r="K20" s="51"/>
      <c r="L20" s="88"/>
      <c r="M20" s="88"/>
    </row>
    <row r="21" customFormat="false" ht="13.5" hidden="false" customHeight="true" outlineLevel="0" collapsed="false">
      <c r="A21" s="1"/>
      <c r="B21" s="53" t="s">
        <v>101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</row>
    <row r="22" customFormat="false" ht="7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9.5" hidden="false" customHeight="true" outlineLevel="0" collapsed="false">
      <c r="A23" s="1"/>
      <c r="B23" s="84" t="s">
        <v>102</v>
      </c>
      <c r="C23" s="85" t="s">
        <v>329</v>
      </c>
      <c r="D23" s="85"/>
      <c r="E23" s="85"/>
      <c r="F23" s="85"/>
      <c r="G23" s="85"/>
      <c r="H23" s="85"/>
      <c r="I23" s="85"/>
      <c r="J23" s="85"/>
      <c r="K23" s="85"/>
      <c r="L23" s="85"/>
      <c r="M23" s="85"/>
    </row>
    <row r="24" customFormat="false" ht="13.5" hidden="false" customHeight="true" outlineLevel="0" collapsed="false">
      <c r="A24" s="1"/>
      <c r="B24" s="46" t="s">
        <v>330</v>
      </c>
      <c r="C24" s="46"/>
      <c r="D24" s="46"/>
      <c r="E24" s="46" t="s">
        <v>331</v>
      </c>
      <c r="F24" s="46"/>
      <c r="G24" s="46"/>
      <c r="H24" s="46" t="s">
        <v>332</v>
      </c>
      <c r="I24" s="46"/>
      <c r="J24" s="46"/>
      <c r="K24" s="46"/>
      <c r="L24" s="46"/>
      <c r="M24" s="46"/>
    </row>
    <row r="25" customFormat="false" ht="21" hidden="false" customHeight="true" outlineLevel="0" collapsed="false">
      <c r="A25" s="1"/>
      <c r="B25" s="47"/>
      <c r="C25" s="47"/>
      <c r="D25" s="47"/>
      <c r="E25" s="47"/>
      <c r="F25" s="47"/>
      <c r="G25" s="47"/>
      <c r="H25" s="40"/>
      <c r="I25" s="40"/>
      <c r="J25" s="40"/>
      <c r="K25" s="40"/>
      <c r="L25" s="40"/>
      <c r="M25" s="40"/>
    </row>
    <row r="26" customFormat="false" ht="13.5" hidden="false" customHeight="true" outlineLevel="0" collapsed="false">
      <c r="A26" s="1"/>
      <c r="B26" s="46" t="s">
        <v>333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customFormat="false" ht="21" hidden="false" customHeight="true" outlineLevel="0" collapsed="false">
      <c r="A27" s="1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</row>
    <row r="28" customFormat="false" ht="7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9.5" hidden="false" customHeight="true" outlineLevel="0" collapsed="false">
      <c r="A29" s="1"/>
      <c r="B29" s="84" t="s">
        <v>107</v>
      </c>
      <c r="C29" s="85" t="s">
        <v>334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</row>
    <row r="30" customFormat="false" ht="13.5" hidden="false" customHeight="true" outlineLevel="0" collapsed="false">
      <c r="A30" s="1"/>
      <c r="B30" s="46" t="s">
        <v>335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customFormat="false" ht="66" hidden="false" customHeight="true" outlineLevel="0" collapsed="false">
      <c r="A31" s="1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customFormat="false" ht="13.5" hidden="false" customHeight="true" outlineLevel="0" collapsed="false">
      <c r="A32" s="1"/>
      <c r="B32" s="46" t="s">
        <v>143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customFormat="false" ht="51" hidden="false" customHeight="true" outlineLevel="0" collapsed="false">
      <c r="A33" s="1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customFormat="false" ht="13.5" hidden="false" customHeight="true" outlineLevel="0" collapsed="false">
      <c r="A34" s="1"/>
      <c r="B34" s="46" t="s">
        <v>336</v>
      </c>
      <c r="C34" s="46"/>
      <c r="D34" s="46"/>
      <c r="E34" s="46"/>
      <c r="F34" s="46"/>
      <c r="G34" s="46"/>
      <c r="H34" s="46"/>
      <c r="I34" s="46"/>
      <c r="J34" s="46"/>
      <c r="K34" s="46" t="s">
        <v>117</v>
      </c>
      <c r="L34" s="46"/>
      <c r="M34" s="46"/>
    </row>
    <row r="35" customFormat="false" ht="21" hidden="false" customHeight="true" outlineLevel="0" collapsed="false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7"/>
      <c r="L35" s="47"/>
      <c r="M35" s="47"/>
    </row>
    <row r="36" customFormat="false" ht="9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3.5" hidden="false" customHeight="true" outlineLevel="0" collapsed="false">
      <c r="A37" s="1"/>
      <c r="B37" s="55" t="s">
        <v>337</v>
      </c>
      <c r="C37" s="55"/>
      <c r="D37" s="55"/>
      <c r="E37" s="55"/>
      <c r="F37" s="55"/>
      <c r="G37" s="55"/>
      <c r="H37" s="55"/>
      <c r="I37" s="56" t="s">
        <v>119</v>
      </c>
      <c r="J37" s="56"/>
      <c r="K37" s="56"/>
      <c r="L37" s="56"/>
      <c r="M37" s="56"/>
    </row>
  </sheetData>
  <mergeCells count="62">
    <mergeCell ref="K1:M1"/>
    <mergeCell ref="B2:I2"/>
    <mergeCell ref="L2:M2"/>
    <mergeCell ref="B3:I3"/>
    <mergeCell ref="L3:M3"/>
    <mergeCell ref="B5:M5"/>
    <mergeCell ref="B6:M6"/>
    <mergeCell ref="C8:M8"/>
    <mergeCell ref="B9:E9"/>
    <mergeCell ref="F9:M9"/>
    <mergeCell ref="B10:E10"/>
    <mergeCell ref="F10:M10"/>
    <mergeCell ref="B11:G11"/>
    <mergeCell ref="H11:M11"/>
    <mergeCell ref="B12:G12"/>
    <mergeCell ref="H12:M12"/>
    <mergeCell ref="C14:M14"/>
    <mergeCell ref="C15:F15"/>
    <mergeCell ref="G15:H15"/>
    <mergeCell ref="I15:J15"/>
    <mergeCell ref="L15:M15"/>
    <mergeCell ref="C16:F16"/>
    <mergeCell ref="G16:H16"/>
    <mergeCell ref="I16:J16"/>
    <mergeCell ref="L16:M16"/>
    <mergeCell ref="C17:F17"/>
    <mergeCell ref="G17:H17"/>
    <mergeCell ref="I17:J17"/>
    <mergeCell ref="L17:M17"/>
    <mergeCell ref="C18:F18"/>
    <mergeCell ref="G18:H18"/>
    <mergeCell ref="I18:J18"/>
    <mergeCell ref="L18:M18"/>
    <mergeCell ref="C19:F19"/>
    <mergeCell ref="G19:H19"/>
    <mergeCell ref="I19:J19"/>
    <mergeCell ref="L19:M19"/>
    <mergeCell ref="C20:F20"/>
    <mergeCell ref="G20:H20"/>
    <mergeCell ref="I20:J20"/>
    <mergeCell ref="L20:M20"/>
    <mergeCell ref="B21:M21"/>
    <mergeCell ref="C23:M23"/>
    <mergeCell ref="B24:D24"/>
    <mergeCell ref="E24:G24"/>
    <mergeCell ref="H24:M24"/>
    <mergeCell ref="B25:D25"/>
    <mergeCell ref="E25:G25"/>
    <mergeCell ref="H25:M25"/>
    <mergeCell ref="B26:M26"/>
    <mergeCell ref="B27:M27"/>
    <mergeCell ref="C29:M29"/>
    <mergeCell ref="B30:M30"/>
    <mergeCell ref="B31:M31"/>
    <mergeCell ref="B32:M32"/>
    <mergeCell ref="B33:M33"/>
    <mergeCell ref="B34:J34"/>
    <mergeCell ref="K34:M34"/>
    <mergeCell ref="B35:J35"/>
    <mergeCell ref="K35:M35"/>
    <mergeCell ref="B37:H37"/>
    <mergeCell ref="I37:M37"/>
  </mergeCells>
  <dataValidations count="5"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G16:G20 I16:I20" type="decimal">
      <formula1>0</formula1>
      <formula2>0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K16:K20" type="list">
      <formula1>Listas!$A$2:$A$11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L16:L20" type="list">
      <formula1>Listas!$L$2:$L$2</formula1>
      <formula2>0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B25 E25 K35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27" type="list">
      <formula1>Listas!$P$2:$P$6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F11 · Registro de informações do recebimento · Modelo interno v1.0&amp;R&amp;"Arial,Regular"&amp;7 Página 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22"/>
    <pageSetUpPr fitToPage="tru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78" t="s">
        <v>338</v>
      </c>
      <c r="C2" s="78"/>
      <c r="D2" s="78"/>
      <c r="E2" s="78"/>
      <c r="F2" s="78"/>
      <c r="G2" s="78"/>
      <c r="H2" s="78"/>
      <c r="I2" s="78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79" t="s">
        <v>68</v>
      </c>
      <c r="C3" s="79"/>
      <c r="D3" s="79"/>
      <c r="E3" s="79"/>
      <c r="F3" s="79"/>
      <c r="G3" s="79"/>
      <c r="H3" s="79"/>
      <c r="I3" s="79"/>
      <c r="J3" s="80" t="s">
        <v>67</v>
      </c>
      <c r="K3" s="81" t="s">
        <v>84</v>
      </c>
      <c r="L3" s="40"/>
      <c r="M3" s="40"/>
    </row>
    <row r="4" customFormat="false" ht="6" hidden="false" customHeight="true" outlineLevel="0" collapsed="false">
      <c r="A4" s="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customFormat="false" ht="15.75" hidden="false" customHeight="true" outlineLevel="0" collapsed="false">
      <c r="A5" s="1"/>
      <c r="B5" s="42" t="s">
        <v>339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18" hidden="false" customHeight="true" outlineLevel="0" collapsed="false">
      <c r="A6" s="1"/>
      <c r="B6" s="83" t="s">
        <v>340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84" t="s">
        <v>87</v>
      </c>
      <c r="C8" s="85" t="s">
        <v>258</v>
      </c>
      <c r="D8" s="85"/>
      <c r="E8" s="85"/>
      <c r="F8" s="85"/>
      <c r="G8" s="85"/>
      <c r="H8" s="85"/>
      <c r="I8" s="85"/>
      <c r="J8" s="85"/>
      <c r="K8" s="85"/>
      <c r="L8" s="85"/>
      <c r="M8" s="85"/>
    </row>
    <row r="9" customFormat="false" ht="13.5" hidden="false" customHeight="true" outlineLevel="0" collapsed="false">
      <c r="A9" s="1"/>
      <c r="B9" s="46" t="s">
        <v>341</v>
      </c>
      <c r="C9" s="46"/>
      <c r="D9" s="46"/>
      <c r="E9" s="46"/>
      <c r="F9" s="46"/>
      <c r="G9" s="46"/>
      <c r="H9" s="46" t="s">
        <v>271</v>
      </c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336</v>
      </c>
      <c r="C11" s="46"/>
      <c r="D11" s="46"/>
      <c r="E11" s="46"/>
      <c r="F11" s="46"/>
      <c r="G11" s="46"/>
      <c r="H11" s="46"/>
      <c r="I11" s="46"/>
      <c r="J11" s="46"/>
      <c r="K11" s="46" t="s">
        <v>342</v>
      </c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7"/>
      <c r="L12" s="47"/>
      <c r="M12" s="47"/>
    </row>
    <row r="13" customFormat="false" ht="7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9.5" hidden="false" customHeight="true" outlineLevel="0" collapsed="false">
      <c r="A14" s="1"/>
      <c r="B14" s="84" t="s">
        <v>94</v>
      </c>
      <c r="C14" s="85" t="s">
        <v>343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</row>
    <row r="15" customFormat="false" ht="16.5" hidden="false" customHeight="true" outlineLevel="0" collapsed="false">
      <c r="A15" s="1"/>
      <c r="B15" s="89" t="s">
        <v>344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</row>
    <row r="16" customFormat="false" ht="13.5" hidden="false" customHeight="true" outlineLevel="0" collapsed="false">
      <c r="A16" s="1"/>
      <c r="B16" s="46" t="s">
        <v>156</v>
      </c>
      <c r="C16" s="46"/>
      <c r="D16" s="46"/>
      <c r="E16" s="46" t="s">
        <v>99</v>
      </c>
      <c r="F16" s="46"/>
      <c r="G16" s="46"/>
      <c r="H16" s="46" t="s">
        <v>345</v>
      </c>
      <c r="I16" s="46"/>
      <c r="J16" s="46"/>
      <c r="K16" s="46"/>
      <c r="L16" s="46"/>
      <c r="M16" s="46"/>
    </row>
    <row r="17" customFormat="false" ht="21" hidden="false" customHeight="true" outlineLevel="0" collapsed="false">
      <c r="A17" s="1"/>
      <c r="B17" s="57"/>
      <c r="C17" s="57"/>
      <c r="D17" s="57"/>
      <c r="E17" s="40"/>
      <c r="F17" s="40"/>
      <c r="G17" s="40"/>
      <c r="H17" s="40"/>
      <c r="I17" s="40"/>
      <c r="J17" s="40"/>
      <c r="K17" s="40"/>
      <c r="L17" s="40"/>
      <c r="M17" s="40"/>
    </row>
    <row r="18" customFormat="false" ht="16.5" hidden="false" customHeight="true" outlineLevel="0" collapsed="false">
      <c r="A18" s="1"/>
      <c r="B18" s="89" t="s">
        <v>346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</row>
    <row r="19" customFormat="false" ht="13.5" hidden="false" customHeight="true" outlineLevel="0" collapsed="false">
      <c r="A19" s="1"/>
      <c r="B19" s="46" t="s">
        <v>156</v>
      </c>
      <c r="C19" s="46"/>
      <c r="D19" s="46"/>
      <c r="E19" s="46" t="s">
        <v>99</v>
      </c>
      <c r="F19" s="46"/>
      <c r="G19" s="46"/>
      <c r="H19" s="46" t="s">
        <v>345</v>
      </c>
      <c r="I19" s="46"/>
      <c r="J19" s="46"/>
      <c r="K19" s="46"/>
      <c r="L19" s="46"/>
      <c r="M19" s="46"/>
    </row>
    <row r="20" customFormat="false" ht="21" hidden="false" customHeight="true" outlineLevel="0" collapsed="false">
      <c r="A20" s="1"/>
      <c r="B20" s="57"/>
      <c r="C20" s="57"/>
      <c r="D20" s="57"/>
      <c r="E20" s="40"/>
      <c r="F20" s="40"/>
      <c r="G20" s="40"/>
      <c r="H20" s="40"/>
      <c r="I20" s="40"/>
      <c r="J20" s="40"/>
      <c r="K20" s="40"/>
      <c r="L20" s="40"/>
      <c r="M20" s="40"/>
    </row>
    <row r="21" customFormat="false" ht="13.5" hidden="false" customHeight="true" outlineLevel="0" collapsed="false">
      <c r="A21" s="1"/>
      <c r="B21" s="90" t="s">
        <v>347</v>
      </c>
      <c r="C21" s="90"/>
      <c r="D21" s="90"/>
      <c r="E21" s="90"/>
      <c r="F21" s="90"/>
      <c r="G21" s="90"/>
      <c r="H21" s="90" t="s">
        <v>151</v>
      </c>
      <c r="I21" s="90"/>
      <c r="J21" s="90" t="s">
        <v>348</v>
      </c>
      <c r="K21" s="90"/>
      <c r="L21" s="90"/>
      <c r="M21" s="90"/>
    </row>
    <row r="22" customFormat="false" ht="21.75" hidden="false" customHeight="true" outlineLevel="0" collapsed="false">
      <c r="A22" s="1"/>
      <c r="B22" s="91" t="str">
        <f aca="false">IF(OR(B17="",B20=""),"",IF(OR(TRIM(E17)="",TRIM(E20)=""),"Não calculada: informe as duas unidades",IF(LOWER(TRIM(E17))&lt;&gt;LOWER(TRIM(E20)),"Não calculada: unidades diferentes",B20-B17)))</f>
        <v/>
      </c>
      <c r="C22" s="91"/>
      <c r="D22" s="91"/>
      <c r="E22" s="91"/>
      <c r="F22" s="91"/>
      <c r="G22" s="91"/>
      <c r="H22" s="92" t="str">
        <f aca="false">IF(ISNUMBER(B22),TRIM(E20),"")</f>
        <v/>
      </c>
      <c r="I22" s="92"/>
      <c r="J22" s="93" t="str">
        <f aca="false">IF(AND(ISNUMBER(B22),B17&lt;&gt;0),B22/B17,"")</f>
        <v/>
      </c>
      <c r="K22" s="93"/>
      <c r="L22" s="93"/>
      <c r="M22" s="93"/>
    </row>
    <row r="23" customFormat="false" ht="24" hidden="false" customHeight="true" outlineLevel="0" collapsed="false">
      <c r="A23" s="1"/>
      <c r="B23" s="31" t="s">
        <v>349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customFormat="false" ht="7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9.5" hidden="false" customHeight="true" outlineLevel="0" collapsed="false">
      <c r="A25" s="1"/>
      <c r="B25" s="84" t="s">
        <v>102</v>
      </c>
      <c r="C25" s="85" t="s">
        <v>350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</row>
    <row r="26" customFormat="false" ht="13.5" hidden="false" customHeight="true" outlineLevel="0" collapsed="false">
      <c r="A26" s="1"/>
      <c r="B26" s="46" t="s">
        <v>350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customFormat="false" ht="66" hidden="false" customHeight="true" outlineLevel="0" collapsed="false">
      <c r="A27" s="1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</row>
    <row r="28" customFormat="false" ht="7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9.5" hidden="false" customHeight="true" outlineLevel="0" collapsed="false">
      <c r="A29" s="1"/>
      <c r="B29" s="84" t="s">
        <v>107</v>
      </c>
      <c r="C29" s="85" t="s">
        <v>351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</row>
    <row r="30" customFormat="false" ht="13.5" hidden="false" customHeight="true" outlineLevel="0" collapsed="false">
      <c r="A30" s="1"/>
      <c r="B30" s="46" t="s">
        <v>352</v>
      </c>
      <c r="C30" s="46"/>
      <c r="D30" s="46"/>
      <c r="E30" s="46"/>
      <c r="F30" s="46"/>
      <c r="G30" s="46"/>
      <c r="H30" s="46" t="s">
        <v>353</v>
      </c>
      <c r="I30" s="46"/>
      <c r="J30" s="46"/>
      <c r="K30" s="46" t="s">
        <v>354</v>
      </c>
      <c r="L30" s="46"/>
      <c r="M30" s="46"/>
    </row>
    <row r="31" customFormat="false" ht="21" hidden="false" customHeight="true" outlineLevel="0" collapsed="false">
      <c r="A31" s="1"/>
      <c r="B31" s="40"/>
      <c r="C31" s="40"/>
      <c r="D31" s="40"/>
      <c r="E31" s="40"/>
      <c r="F31" s="40"/>
      <c r="G31" s="40"/>
      <c r="H31" s="40"/>
      <c r="I31" s="40"/>
      <c r="J31" s="40"/>
      <c r="K31" s="47"/>
      <c r="L31" s="47"/>
      <c r="M31" s="47"/>
    </row>
    <row r="32" customFormat="false" ht="13.5" hidden="false" customHeight="true" outlineLevel="0" collapsed="false">
      <c r="A32" s="1"/>
      <c r="B32" s="46" t="s">
        <v>186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customFormat="false" ht="21" hidden="false" customHeight="true" outlineLevel="0" collapsed="false">
      <c r="A33" s="1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customFormat="false" ht="13.5" hidden="false" customHeight="true" outlineLevel="0" collapsed="false">
      <c r="A34" s="1"/>
      <c r="B34" s="46" t="s">
        <v>355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customFormat="false" ht="21" hidden="false" customHeight="true" outlineLevel="0" collapsed="false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customFormat="false" ht="13.5" hidden="false" customHeight="true" outlineLevel="0" collapsed="false">
      <c r="A36" s="1"/>
      <c r="B36" s="46" t="s">
        <v>356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customFormat="false" ht="51" hidden="false" customHeight="true" outlineLevel="0" collapsed="false">
      <c r="A37" s="1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customFormat="false" ht="9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3.5" hidden="false" customHeight="true" outlineLevel="0" collapsed="false">
      <c r="A39" s="1"/>
      <c r="B39" s="55" t="s">
        <v>357</v>
      </c>
      <c r="C39" s="55"/>
      <c r="D39" s="55"/>
      <c r="E39" s="55"/>
      <c r="F39" s="55"/>
      <c r="G39" s="55"/>
      <c r="H39" s="55"/>
      <c r="I39" s="56" t="s">
        <v>119</v>
      </c>
      <c r="J39" s="56"/>
      <c r="K39" s="56"/>
      <c r="L39" s="56"/>
      <c r="M39" s="56"/>
    </row>
  </sheetData>
  <mergeCells count="56">
    <mergeCell ref="K1:M1"/>
    <mergeCell ref="B2:I2"/>
    <mergeCell ref="L2:M2"/>
    <mergeCell ref="B3:I3"/>
    <mergeCell ref="L3:M3"/>
    <mergeCell ref="B5:M5"/>
    <mergeCell ref="B6:M6"/>
    <mergeCell ref="C8:M8"/>
    <mergeCell ref="B9:G9"/>
    <mergeCell ref="H9:M9"/>
    <mergeCell ref="B10:G10"/>
    <mergeCell ref="H10:M10"/>
    <mergeCell ref="B11:J11"/>
    <mergeCell ref="K11:M11"/>
    <mergeCell ref="B12:J12"/>
    <mergeCell ref="K12:M12"/>
    <mergeCell ref="C14:M14"/>
    <mergeCell ref="B15:M15"/>
    <mergeCell ref="B16:D16"/>
    <mergeCell ref="E16:G16"/>
    <mergeCell ref="H16:M16"/>
    <mergeCell ref="B17:D17"/>
    <mergeCell ref="E17:G17"/>
    <mergeCell ref="H17:M17"/>
    <mergeCell ref="B18:M18"/>
    <mergeCell ref="B19:D19"/>
    <mergeCell ref="E19:G19"/>
    <mergeCell ref="H19:M19"/>
    <mergeCell ref="B20:D20"/>
    <mergeCell ref="E20:G20"/>
    <mergeCell ref="H20:M20"/>
    <mergeCell ref="B21:G21"/>
    <mergeCell ref="H21:I21"/>
    <mergeCell ref="J21:M21"/>
    <mergeCell ref="B22:G22"/>
    <mergeCell ref="H22:I22"/>
    <mergeCell ref="J22:M22"/>
    <mergeCell ref="B23:M23"/>
    <mergeCell ref="C25:M25"/>
    <mergeCell ref="B26:M26"/>
    <mergeCell ref="B27:M27"/>
    <mergeCell ref="C29:M29"/>
    <mergeCell ref="B30:G30"/>
    <mergeCell ref="H30:J30"/>
    <mergeCell ref="K30:M30"/>
    <mergeCell ref="B31:G31"/>
    <mergeCell ref="H31:J31"/>
    <mergeCell ref="K31:M31"/>
    <mergeCell ref="B32:M32"/>
    <mergeCell ref="B33:M33"/>
    <mergeCell ref="B34:M34"/>
    <mergeCell ref="B35:M35"/>
    <mergeCell ref="B36:M36"/>
    <mergeCell ref="B37:M37"/>
    <mergeCell ref="B39:H39"/>
    <mergeCell ref="I39:M39"/>
  </mergeCells>
  <dataValidations count="5">
    <dataValidation allowBlank="false" error="Digite apenas números, por exemplo 1250,5. Informe a unidade no campo ao lado." errorStyle="stop" errorTitle="Valor inválido" operator="greaterThanOrEqual" prompt="Somente números. A unidade fica em outro campo." promptTitle="Quantidade" showDropDown="false" showErrorMessage="true" showInputMessage="true" sqref="B17 B20" type="decimal">
      <formula1>0</formula1>
      <formula2>0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K12 K31" type="date">
      <formula1>DATE(2000,1,1)</formula1>
      <formula2>DATE(2100,12,31)</formula2>
    </dataValidation>
    <dataValidation allowBlank="true" error="Este valor não está na lista de sugestões. Clique em OK para manter." errorStyle="information" errorTitle="Valor fora da lista" operator="between" prompt="Escolha na lista ou digite outro valor." promptTitle="Sugestões" showDropDown="false" showErrorMessage="true" showInputMessage="true" sqref="E17 E20" type="list">
      <formula1>Listas!$A$2:$A$11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3" type="list">
      <formula1>Listas!$G$2:$G$6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5" type="list">
      <formula1>Listas!$Q$2:$Q$6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F12 · Registro de divergência de quantidade · Modelo interno v1.0&amp;R&amp;"Arial,Regular"&amp;7 Página &amp;P de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22"/>
    <pageSetUpPr fitToPage="tru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78" t="s">
        <v>358</v>
      </c>
      <c r="C2" s="78"/>
      <c r="D2" s="78"/>
      <c r="E2" s="78"/>
      <c r="F2" s="78"/>
      <c r="G2" s="78"/>
      <c r="H2" s="78"/>
      <c r="I2" s="78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79" t="s">
        <v>71</v>
      </c>
      <c r="C3" s="79"/>
      <c r="D3" s="79"/>
      <c r="E3" s="79"/>
      <c r="F3" s="79"/>
      <c r="G3" s="79"/>
      <c r="H3" s="79"/>
      <c r="I3" s="79"/>
      <c r="J3" s="80" t="s">
        <v>70</v>
      </c>
      <c r="K3" s="81" t="s">
        <v>84</v>
      </c>
      <c r="L3" s="40"/>
      <c r="M3" s="40"/>
    </row>
    <row r="4" customFormat="false" ht="6" hidden="false" customHeight="true" outlineLevel="0" collapsed="false">
      <c r="A4" s="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customFormat="false" ht="15.75" hidden="false" customHeight="true" outlineLevel="0" collapsed="false">
      <c r="A5" s="1"/>
      <c r="B5" s="42" t="s">
        <v>359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83" t="s">
        <v>360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84" t="s">
        <v>87</v>
      </c>
      <c r="C8" s="85" t="s">
        <v>258</v>
      </c>
      <c r="D8" s="85"/>
      <c r="E8" s="85"/>
      <c r="F8" s="85"/>
      <c r="G8" s="85"/>
      <c r="H8" s="85"/>
      <c r="I8" s="85"/>
      <c r="J8" s="85"/>
      <c r="K8" s="85"/>
      <c r="L8" s="85"/>
      <c r="M8" s="85"/>
    </row>
    <row r="9" customFormat="false" ht="13.5" hidden="false" customHeight="true" outlineLevel="0" collapsed="false">
      <c r="A9" s="1"/>
      <c r="B9" s="46" t="s">
        <v>170</v>
      </c>
      <c r="C9" s="46"/>
      <c r="D9" s="46"/>
      <c r="E9" s="46" t="s">
        <v>172</v>
      </c>
      <c r="F9" s="46"/>
      <c r="G9" s="46" t="s">
        <v>168</v>
      </c>
      <c r="H9" s="46"/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7"/>
      <c r="C10" s="47"/>
      <c r="D10" s="47"/>
      <c r="E10" s="58"/>
      <c r="F10" s="58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361</v>
      </c>
      <c r="C11" s="46"/>
      <c r="D11" s="46"/>
      <c r="E11" s="46"/>
      <c r="F11" s="46"/>
      <c r="G11" s="46"/>
      <c r="H11" s="46" t="s">
        <v>198</v>
      </c>
      <c r="I11" s="46"/>
      <c r="J11" s="46"/>
      <c r="K11" s="46"/>
      <c r="L11" s="46"/>
      <c r="M11" s="46"/>
    </row>
    <row r="12" customFormat="false" ht="21" hidden="false" customHeight="true" outlineLevel="0" collapsed="false">
      <c r="A12" s="1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customFormat="false" ht="7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9.5" hidden="false" customHeight="true" outlineLevel="0" collapsed="false">
      <c r="A14" s="1"/>
      <c r="B14" s="84" t="s">
        <v>94</v>
      </c>
      <c r="C14" s="85" t="s">
        <v>362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</row>
    <row r="15" customFormat="false" ht="13.5" hidden="false" customHeight="true" outlineLevel="0" collapsed="false">
      <c r="A15" s="1"/>
      <c r="B15" s="46" t="s">
        <v>363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customFormat="false" ht="19.5" hidden="false" customHeight="true" outlineLevel="0" collapsed="false">
      <c r="A16" s="1"/>
      <c r="B16" s="88"/>
      <c r="C16" s="15" t="s">
        <v>364</v>
      </c>
      <c r="D16" s="15"/>
      <c r="E16" s="15"/>
      <c r="F16" s="15"/>
      <c r="G16" s="15"/>
      <c r="H16" s="88"/>
      <c r="I16" s="15" t="s">
        <v>365</v>
      </c>
      <c r="J16" s="15"/>
      <c r="K16" s="15"/>
      <c r="L16" s="15"/>
      <c r="M16" s="15"/>
    </row>
    <row r="17" customFormat="false" ht="19.5" hidden="false" customHeight="true" outlineLevel="0" collapsed="false">
      <c r="A17" s="1"/>
      <c r="B17" s="88"/>
      <c r="C17" s="15" t="s">
        <v>366</v>
      </c>
      <c r="D17" s="15"/>
      <c r="E17" s="15"/>
      <c r="F17" s="15"/>
      <c r="G17" s="15"/>
      <c r="H17" s="88"/>
      <c r="I17" s="15" t="s">
        <v>367</v>
      </c>
      <c r="J17" s="15"/>
      <c r="K17" s="15"/>
      <c r="L17" s="15"/>
      <c r="M17" s="15"/>
    </row>
    <row r="18" customFormat="false" ht="19.5" hidden="false" customHeight="true" outlineLevel="0" collapsed="false">
      <c r="A18" s="1"/>
      <c r="B18" s="88"/>
      <c r="C18" s="15" t="s">
        <v>368</v>
      </c>
      <c r="D18" s="15"/>
      <c r="E18" s="15"/>
      <c r="F18" s="15"/>
      <c r="G18" s="15"/>
      <c r="H18" s="88"/>
      <c r="I18" s="15" t="s">
        <v>369</v>
      </c>
      <c r="J18" s="15"/>
      <c r="K18" s="15"/>
      <c r="L18" s="15"/>
      <c r="M18" s="15"/>
    </row>
    <row r="19" customFormat="false" ht="19.5" hidden="false" customHeight="true" outlineLevel="0" collapsed="false">
      <c r="A19" s="1"/>
      <c r="B19" s="88"/>
      <c r="C19" s="15" t="s">
        <v>370</v>
      </c>
      <c r="D19" s="15"/>
      <c r="E19" s="15"/>
      <c r="F19" s="15"/>
      <c r="G19" s="15"/>
      <c r="H19" s="1"/>
      <c r="I19" s="1"/>
      <c r="J19" s="1"/>
      <c r="K19" s="1"/>
      <c r="L19" s="1"/>
      <c r="M19" s="1"/>
    </row>
    <row r="20" customFormat="false" ht="13.5" hidden="false" customHeight="true" outlineLevel="0" collapsed="false">
      <c r="A20" s="1"/>
      <c r="B20" s="46" t="s">
        <v>371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customFormat="false" ht="21" hidden="false" customHeight="true" outlineLevel="0" collapsed="false">
      <c r="A21" s="1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customFormat="false" ht="13.5" hidden="false" customHeight="true" outlineLevel="0" collapsed="false">
      <c r="A22" s="1"/>
      <c r="B22" s="46" t="s">
        <v>372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customFormat="false" ht="66" hidden="false" customHeight="true" outlineLevel="0" collapsed="false">
      <c r="A23" s="1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customFormat="false" ht="7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9.5" hidden="false" customHeight="true" outlineLevel="0" collapsed="false">
      <c r="A25" s="1"/>
      <c r="B25" s="84" t="s">
        <v>102</v>
      </c>
      <c r="C25" s="85" t="s">
        <v>373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</row>
    <row r="26" customFormat="false" ht="18" hidden="false" customHeight="true" outlineLevel="0" collapsed="false">
      <c r="A26" s="1"/>
      <c r="B26" s="86" t="s">
        <v>96</v>
      </c>
      <c r="C26" s="87" t="s">
        <v>374</v>
      </c>
      <c r="D26" s="87"/>
      <c r="E26" s="87"/>
      <c r="F26" s="87"/>
      <c r="G26" s="87"/>
      <c r="H26" s="87" t="s">
        <v>375</v>
      </c>
      <c r="I26" s="87"/>
      <c r="J26" s="87"/>
      <c r="K26" s="86" t="s">
        <v>170</v>
      </c>
      <c r="L26" s="86"/>
      <c r="M26" s="86"/>
    </row>
    <row r="27" customFormat="false" ht="19.5" hidden="false" customHeight="true" outlineLevel="0" collapsed="false">
      <c r="A27" s="1"/>
      <c r="B27" s="50" t="n">
        <v>1</v>
      </c>
      <c r="C27" s="51"/>
      <c r="D27" s="51"/>
      <c r="E27" s="51"/>
      <c r="F27" s="51"/>
      <c r="G27" s="51"/>
      <c r="H27" s="51"/>
      <c r="I27" s="51"/>
      <c r="J27" s="51"/>
      <c r="K27" s="71"/>
      <c r="L27" s="71"/>
      <c r="M27" s="71"/>
    </row>
    <row r="28" customFormat="false" ht="19.5" hidden="false" customHeight="true" outlineLevel="0" collapsed="false">
      <c r="A28" s="1"/>
      <c r="B28" s="50" t="n">
        <v>2</v>
      </c>
      <c r="C28" s="51"/>
      <c r="D28" s="51"/>
      <c r="E28" s="51"/>
      <c r="F28" s="51"/>
      <c r="G28" s="51"/>
      <c r="H28" s="51"/>
      <c r="I28" s="51"/>
      <c r="J28" s="51"/>
      <c r="K28" s="71"/>
      <c r="L28" s="71"/>
      <c r="M28" s="71"/>
    </row>
    <row r="29" customFormat="false" ht="13.5" hidden="false" customHeight="true" outlineLevel="0" collapsed="false">
      <c r="A29" s="1"/>
      <c r="B29" s="53" t="s">
        <v>101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customFormat="false" ht="13.5" hidden="false" customHeight="true" outlineLevel="0" collapsed="false">
      <c r="A30" s="1"/>
      <c r="B30" s="46" t="s">
        <v>376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customFormat="false" ht="36" hidden="false" customHeight="true" outlineLevel="0" collapsed="false">
      <c r="A31" s="1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customFormat="false" ht="7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9.5" hidden="false" customHeight="true" outlineLevel="0" collapsed="false">
      <c r="A33" s="1"/>
      <c r="B33" s="84" t="s">
        <v>107</v>
      </c>
      <c r="C33" s="85" t="s">
        <v>207</v>
      </c>
      <c r="D33" s="85"/>
      <c r="E33" s="85"/>
      <c r="F33" s="85"/>
      <c r="G33" s="85"/>
      <c r="H33" s="85"/>
      <c r="I33" s="85"/>
      <c r="J33" s="85"/>
      <c r="K33" s="85"/>
      <c r="L33" s="85"/>
      <c r="M33" s="85"/>
    </row>
    <row r="34" customFormat="false" ht="13.5" hidden="false" customHeight="true" outlineLevel="0" collapsed="false">
      <c r="A34" s="1"/>
      <c r="B34" s="46" t="s">
        <v>355</v>
      </c>
      <c r="C34" s="46"/>
      <c r="D34" s="46"/>
      <c r="E34" s="46"/>
      <c r="F34" s="46"/>
      <c r="G34" s="46"/>
      <c r="H34" s="46" t="s">
        <v>336</v>
      </c>
      <c r="I34" s="46"/>
      <c r="J34" s="46"/>
      <c r="K34" s="46"/>
      <c r="L34" s="46" t="s">
        <v>117</v>
      </c>
      <c r="M34" s="46"/>
    </row>
    <row r="35" customFormat="false" ht="21" hidden="false" customHeight="true" outlineLevel="0" collapsed="false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7"/>
      <c r="M35" s="47"/>
    </row>
    <row r="36" customFormat="false" ht="13.5" hidden="false" customHeight="true" outlineLevel="0" collapsed="false">
      <c r="A36" s="1"/>
      <c r="B36" s="46" t="s">
        <v>377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customFormat="false" ht="36" hidden="false" customHeight="true" outlineLevel="0" collapsed="false">
      <c r="A37" s="1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customFormat="false" ht="9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3.5" hidden="false" customHeight="true" outlineLevel="0" collapsed="false">
      <c r="A39" s="1"/>
      <c r="B39" s="55" t="s">
        <v>378</v>
      </c>
      <c r="C39" s="55"/>
      <c r="D39" s="55"/>
      <c r="E39" s="55"/>
      <c r="F39" s="55"/>
      <c r="G39" s="55"/>
      <c r="H39" s="55"/>
      <c r="I39" s="56" t="s">
        <v>119</v>
      </c>
      <c r="J39" s="56"/>
      <c r="K39" s="56"/>
      <c r="L39" s="56"/>
      <c r="M39" s="56"/>
    </row>
  </sheetData>
  <mergeCells count="55">
    <mergeCell ref="K1:M1"/>
    <mergeCell ref="B2:I2"/>
    <mergeCell ref="L2:M2"/>
    <mergeCell ref="B3:I3"/>
    <mergeCell ref="L3:M3"/>
    <mergeCell ref="B5:M5"/>
    <mergeCell ref="B6:M6"/>
    <mergeCell ref="C8:M8"/>
    <mergeCell ref="B9:D9"/>
    <mergeCell ref="E9:F9"/>
    <mergeCell ref="G9:M9"/>
    <mergeCell ref="B10:D10"/>
    <mergeCell ref="E10:F10"/>
    <mergeCell ref="G10:M10"/>
    <mergeCell ref="B11:G11"/>
    <mergeCell ref="H11:M11"/>
    <mergeCell ref="B12:G12"/>
    <mergeCell ref="H12:M12"/>
    <mergeCell ref="C14:M14"/>
    <mergeCell ref="B15:M15"/>
    <mergeCell ref="C16:G16"/>
    <mergeCell ref="I16:M16"/>
    <mergeCell ref="C17:G17"/>
    <mergeCell ref="I17:M17"/>
    <mergeCell ref="C18:G18"/>
    <mergeCell ref="I18:M18"/>
    <mergeCell ref="C19:G19"/>
    <mergeCell ref="B20:M20"/>
    <mergeCell ref="B21:M21"/>
    <mergeCell ref="B22:M22"/>
    <mergeCell ref="B23:M23"/>
    <mergeCell ref="C25:M25"/>
    <mergeCell ref="C26:G26"/>
    <mergeCell ref="H26:J26"/>
    <mergeCell ref="K26:M26"/>
    <mergeCell ref="C27:G27"/>
    <mergeCell ref="H27:J27"/>
    <mergeCell ref="K27:M27"/>
    <mergeCell ref="C28:G28"/>
    <mergeCell ref="H28:J28"/>
    <mergeCell ref="K28:M28"/>
    <mergeCell ref="B29:M29"/>
    <mergeCell ref="B30:M30"/>
    <mergeCell ref="B31:M31"/>
    <mergeCell ref="C33:M33"/>
    <mergeCell ref="B34:G34"/>
    <mergeCell ref="H34:K34"/>
    <mergeCell ref="L34:M34"/>
    <mergeCell ref="B35:G35"/>
    <mergeCell ref="H35:K35"/>
    <mergeCell ref="L35:M35"/>
    <mergeCell ref="B36:M36"/>
    <mergeCell ref="B37:M37"/>
    <mergeCell ref="B39:H39"/>
    <mergeCell ref="I39:M39"/>
  </mergeCells>
  <dataValidations count="4">
    <dataValidation allowBlank="false" error="Digite um horário no formato hh:mm, por exemplo 14:30." errorStyle="stop" errorTitle="Horário inválido" operator="between" prompt="Formato hh:mm" promptTitle="Horário" showDropDown="false" showErrorMessage="true" showInputMessage="true" sqref="E10" type="time">
      <formula1>0</formula1>
      <formula2>0.999988</formula2>
    </dataValidation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B10 K27:K28 L35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16:B19 H16:H18" type="list">
      <formula1>Listas!$L$2:$L$2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5" type="list">
      <formula1>Listas!$R$2:$R$4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F13 · Registro de ocorrência na coleta ou movimentação · Modelo interno v1.0&amp;R&amp;"Arial,Regular"&amp;7 Página &amp;P de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22"/>
    <pageSetUpPr fitToPage="tru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78" t="s">
        <v>379</v>
      </c>
      <c r="C2" s="78"/>
      <c r="D2" s="78"/>
      <c r="E2" s="78"/>
      <c r="F2" s="78"/>
      <c r="G2" s="78"/>
      <c r="H2" s="78"/>
      <c r="I2" s="78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79" t="s">
        <v>74</v>
      </c>
      <c r="C3" s="79"/>
      <c r="D3" s="79"/>
      <c r="E3" s="79"/>
      <c r="F3" s="79"/>
      <c r="G3" s="79"/>
      <c r="H3" s="79"/>
      <c r="I3" s="79"/>
      <c r="J3" s="80" t="s">
        <v>73</v>
      </c>
      <c r="K3" s="81" t="s">
        <v>84</v>
      </c>
      <c r="L3" s="40"/>
      <c r="M3" s="40"/>
    </row>
    <row r="4" customFormat="false" ht="6" hidden="false" customHeight="true" outlineLevel="0" collapsed="false">
      <c r="A4" s="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customFormat="false" ht="15.75" hidden="false" customHeight="true" outlineLevel="0" collapsed="false">
      <c r="A5" s="1"/>
      <c r="B5" s="42" t="s">
        <v>380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customFormat="false" ht="27.75" hidden="false" customHeight="true" outlineLevel="0" collapsed="false">
      <c r="A6" s="1"/>
      <c r="B6" s="83" t="s">
        <v>381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9.5" hidden="false" customHeight="true" outlineLevel="0" collapsed="false">
      <c r="A8" s="1"/>
      <c r="B8" s="84" t="s">
        <v>87</v>
      </c>
      <c r="C8" s="85" t="s">
        <v>382</v>
      </c>
      <c r="D8" s="85"/>
      <c r="E8" s="85"/>
      <c r="F8" s="85"/>
      <c r="G8" s="85"/>
      <c r="H8" s="85"/>
      <c r="I8" s="85"/>
      <c r="J8" s="85"/>
      <c r="K8" s="85"/>
      <c r="L8" s="85"/>
      <c r="M8" s="85"/>
    </row>
    <row r="9" customFormat="false" ht="13.5" hidden="false" customHeight="true" outlineLevel="0" collapsed="false">
      <c r="A9" s="1"/>
      <c r="B9" s="46" t="s">
        <v>198</v>
      </c>
      <c r="C9" s="46"/>
      <c r="D9" s="46"/>
      <c r="E9" s="46"/>
      <c r="F9" s="46"/>
      <c r="G9" s="46" t="s">
        <v>383</v>
      </c>
      <c r="H9" s="46"/>
      <c r="I9" s="46"/>
      <c r="J9" s="46"/>
      <c r="K9" s="46"/>
      <c r="L9" s="46"/>
      <c r="M9" s="46"/>
    </row>
    <row r="10" customFormat="false" ht="21" hidden="false" customHeight="true" outlineLevel="0" collapsed="false">
      <c r="A10" s="1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customFormat="false" ht="13.5" hidden="false" customHeight="true" outlineLevel="0" collapsed="false">
      <c r="A11" s="1"/>
      <c r="B11" s="46" t="s">
        <v>384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customFormat="false" ht="51" hidden="false" customHeight="true" outlineLevel="0" collapsed="false">
      <c r="A12" s="1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</row>
    <row r="13" customFormat="false" ht="13.5" hidden="false" customHeight="true" outlineLevel="0" collapsed="false">
      <c r="A13" s="1"/>
      <c r="B13" s="46" t="s">
        <v>385</v>
      </c>
      <c r="C13" s="46"/>
      <c r="D13" s="46"/>
      <c r="E13" s="46" t="s">
        <v>208</v>
      </c>
      <c r="F13" s="46"/>
      <c r="G13" s="46"/>
      <c r="H13" s="46"/>
      <c r="I13" s="46"/>
      <c r="J13" s="46"/>
      <c r="K13" s="46"/>
      <c r="L13" s="46"/>
      <c r="M13" s="46"/>
    </row>
    <row r="14" customFormat="false" ht="21" hidden="false" customHeight="true" outlineLevel="0" collapsed="false">
      <c r="A14" s="1"/>
      <c r="B14" s="47"/>
      <c r="C14" s="47"/>
      <c r="D14" s="47"/>
      <c r="E14" s="40"/>
      <c r="F14" s="40"/>
      <c r="G14" s="40"/>
      <c r="H14" s="40"/>
      <c r="I14" s="40"/>
      <c r="J14" s="40"/>
      <c r="K14" s="40"/>
      <c r="L14" s="40"/>
      <c r="M14" s="40"/>
    </row>
    <row r="15" customFormat="false" ht="7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9.5" hidden="false" customHeight="true" outlineLevel="0" collapsed="false">
      <c r="A16" s="1"/>
      <c r="B16" s="84" t="s">
        <v>94</v>
      </c>
      <c r="C16" s="85" t="s">
        <v>386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</row>
    <row r="17" customFormat="false" ht="13.5" hidden="false" customHeight="true" outlineLevel="0" collapsed="false">
      <c r="A17" s="1"/>
      <c r="B17" s="46" t="s">
        <v>387</v>
      </c>
      <c r="C17" s="46"/>
      <c r="D17" s="46"/>
      <c r="E17" s="46"/>
      <c r="F17" s="46"/>
      <c r="G17" s="46"/>
      <c r="H17" s="46" t="s">
        <v>388</v>
      </c>
      <c r="I17" s="46"/>
      <c r="J17" s="46"/>
      <c r="K17" s="46"/>
      <c r="L17" s="46"/>
      <c r="M17" s="46"/>
    </row>
    <row r="18" customFormat="false" ht="21" hidden="false" customHeight="true" outlineLevel="0" collapsed="false">
      <c r="A18" s="1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customFormat="false" ht="13.5" hidden="false" customHeight="true" outlineLevel="0" collapsed="false">
      <c r="A19" s="1"/>
      <c r="B19" s="46" t="s">
        <v>386</v>
      </c>
      <c r="C19" s="46"/>
      <c r="D19" s="46"/>
      <c r="E19" s="46"/>
      <c r="F19" s="46"/>
      <c r="G19" s="46"/>
      <c r="H19" s="46"/>
      <c r="I19" s="46"/>
      <c r="J19" s="46"/>
      <c r="K19" s="46" t="s">
        <v>93</v>
      </c>
      <c r="L19" s="46"/>
      <c r="M19" s="46"/>
    </row>
    <row r="20" customFormat="false" ht="51" hidden="false" customHeight="true" outlineLevel="0" collapsed="false">
      <c r="A20" s="1"/>
      <c r="B20" s="54"/>
      <c r="C20" s="54"/>
      <c r="D20" s="54"/>
      <c r="E20" s="54"/>
      <c r="F20" s="54"/>
      <c r="G20" s="54"/>
      <c r="H20" s="54"/>
      <c r="I20" s="54"/>
      <c r="J20" s="54"/>
      <c r="K20" s="47"/>
      <c r="L20" s="47"/>
      <c r="M20" s="47"/>
    </row>
    <row r="21" customFormat="false" ht="7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9.5" hidden="false" customHeight="true" outlineLevel="0" collapsed="false">
      <c r="A22" s="1"/>
      <c r="B22" s="84" t="s">
        <v>102</v>
      </c>
      <c r="C22" s="85" t="s">
        <v>389</v>
      </c>
      <c r="D22" s="85"/>
      <c r="E22" s="85"/>
      <c r="F22" s="85"/>
      <c r="G22" s="85"/>
      <c r="H22" s="85"/>
      <c r="I22" s="85"/>
      <c r="J22" s="85"/>
      <c r="K22" s="85"/>
      <c r="L22" s="85"/>
      <c r="M22" s="85"/>
    </row>
    <row r="23" customFormat="false" ht="25.5" hidden="false" customHeight="true" outlineLevel="0" collapsed="false">
      <c r="A23" s="1"/>
      <c r="B23" s="86" t="s">
        <v>96</v>
      </c>
      <c r="C23" s="86" t="s">
        <v>170</v>
      </c>
      <c r="D23" s="86"/>
      <c r="E23" s="87" t="s">
        <v>390</v>
      </c>
      <c r="F23" s="87"/>
      <c r="G23" s="87"/>
      <c r="H23" s="87"/>
      <c r="I23" s="87"/>
      <c r="J23" s="87"/>
      <c r="K23" s="87"/>
      <c r="L23" s="86" t="s">
        <v>391</v>
      </c>
      <c r="M23" s="86"/>
    </row>
    <row r="24" customFormat="false" ht="19.5" hidden="false" customHeight="true" outlineLevel="0" collapsed="false">
      <c r="A24" s="1"/>
      <c r="B24" s="50" t="n">
        <v>1</v>
      </c>
      <c r="C24" s="71"/>
      <c r="D24" s="71"/>
      <c r="E24" s="51"/>
      <c r="F24" s="51"/>
      <c r="G24" s="51"/>
      <c r="H24" s="51"/>
      <c r="I24" s="51"/>
      <c r="J24" s="51"/>
      <c r="K24" s="51"/>
      <c r="L24" s="71"/>
      <c r="M24" s="71"/>
    </row>
    <row r="25" customFormat="false" ht="19.5" hidden="false" customHeight="true" outlineLevel="0" collapsed="false">
      <c r="A25" s="1"/>
      <c r="B25" s="50" t="n">
        <v>2</v>
      </c>
      <c r="C25" s="71"/>
      <c r="D25" s="71"/>
      <c r="E25" s="51"/>
      <c r="F25" s="51"/>
      <c r="G25" s="51"/>
      <c r="H25" s="51"/>
      <c r="I25" s="51"/>
      <c r="J25" s="51"/>
      <c r="K25" s="51"/>
      <c r="L25" s="71"/>
      <c r="M25" s="71"/>
    </row>
    <row r="26" customFormat="false" ht="19.5" hidden="false" customHeight="true" outlineLevel="0" collapsed="false">
      <c r="A26" s="1"/>
      <c r="B26" s="50" t="n">
        <v>3</v>
      </c>
      <c r="C26" s="71"/>
      <c r="D26" s="71"/>
      <c r="E26" s="51"/>
      <c r="F26" s="51"/>
      <c r="G26" s="51"/>
      <c r="H26" s="51"/>
      <c r="I26" s="51"/>
      <c r="J26" s="51"/>
      <c r="K26" s="51"/>
      <c r="L26" s="71"/>
      <c r="M26" s="71"/>
    </row>
    <row r="27" customFormat="false" ht="19.5" hidden="false" customHeight="true" outlineLevel="0" collapsed="false">
      <c r="A27" s="1"/>
      <c r="B27" s="50" t="n">
        <v>4</v>
      </c>
      <c r="C27" s="71"/>
      <c r="D27" s="71"/>
      <c r="E27" s="51"/>
      <c r="F27" s="51"/>
      <c r="G27" s="51"/>
      <c r="H27" s="51"/>
      <c r="I27" s="51"/>
      <c r="J27" s="51"/>
      <c r="K27" s="51"/>
      <c r="L27" s="71"/>
      <c r="M27" s="71"/>
    </row>
    <row r="28" customFormat="false" ht="19.5" hidden="false" customHeight="true" outlineLevel="0" collapsed="false">
      <c r="A28" s="1"/>
      <c r="B28" s="50" t="n">
        <v>5</v>
      </c>
      <c r="C28" s="71"/>
      <c r="D28" s="71"/>
      <c r="E28" s="51"/>
      <c r="F28" s="51"/>
      <c r="G28" s="51"/>
      <c r="H28" s="51"/>
      <c r="I28" s="51"/>
      <c r="J28" s="51"/>
      <c r="K28" s="51"/>
      <c r="L28" s="71"/>
      <c r="M28" s="71"/>
    </row>
    <row r="29" customFormat="false" ht="19.5" hidden="false" customHeight="true" outlineLevel="0" collapsed="false">
      <c r="A29" s="1"/>
      <c r="B29" s="50" t="n">
        <v>6</v>
      </c>
      <c r="C29" s="71"/>
      <c r="D29" s="71"/>
      <c r="E29" s="51"/>
      <c r="F29" s="51"/>
      <c r="G29" s="51"/>
      <c r="H29" s="51"/>
      <c r="I29" s="51"/>
      <c r="J29" s="51"/>
      <c r="K29" s="51"/>
      <c r="L29" s="71"/>
      <c r="M29" s="71"/>
    </row>
    <row r="30" customFormat="false" ht="19.5" hidden="false" customHeight="true" outlineLevel="0" collapsed="false">
      <c r="A30" s="1"/>
      <c r="B30" s="50" t="n">
        <v>7</v>
      </c>
      <c r="C30" s="71"/>
      <c r="D30" s="71"/>
      <c r="E30" s="51"/>
      <c r="F30" s="51"/>
      <c r="G30" s="51"/>
      <c r="H30" s="51"/>
      <c r="I30" s="51"/>
      <c r="J30" s="51"/>
      <c r="K30" s="51"/>
      <c r="L30" s="71"/>
      <c r="M30" s="71"/>
    </row>
    <row r="31" customFormat="false" ht="13.5" hidden="false" customHeight="true" outlineLevel="0" collapsed="false">
      <c r="A31" s="1"/>
      <c r="B31" s="53" t="s">
        <v>101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customFormat="false" ht="7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9.5" hidden="false" customHeight="true" outlineLevel="0" collapsed="false">
      <c r="A33" s="1"/>
      <c r="B33" s="84" t="s">
        <v>107</v>
      </c>
      <c r="C33" s="85" t="s">
        <v>392</v>
      </c>
      <c r="D33" s="85"/>
      <c r="E33" s="85"/>
      <c r="F33" s="85"/>
      <c r="G33" s="85"/>
      <c r="H33" s="85"/>
      <c r="I33" s="85"/>
      <c r="J33" s="85"/>
      <c r="K33" s="85"/>
      <c r="L33" s="85"/>
      <c r="M33" s="85"/>
    </row>
    <row r="34" customFormat="false" ht="13.5" hidden="false" customHeight="true" outlineLevel="0" collapsed="false">
      <c r="A34" s="1"/>
      <c r="B34" s="46" t="s">
        <v>393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customFormat="false" ht="21" hidden="false" customHeight="true" outlineLevel="0" collapsed="false">
      <c r="A35" s="1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customFormat="false" ht="13.5" hidden="false" customHeight="true" outlineLevel="0" collapsed="false">
      <c r="A36" s="1"/>
      <c r="B36" s="46" t="s">
        <v>391</v>
      </c>
      <c r="C36" s="46"/>
      <c r="D36" s="46"/>
      <c r="E36" s="46" t="s">
        <v>394</v>
      </c>
      <c r="F36" s="46"/>
      <c r="G36" s="46"/>
      <c r="H36" s="46"/>
      <c r="I36" s="46"/>
      <c r="J36" s="46"/>
      <c r="K36" s="46" t="s">
        <v>395</v>
      </c>
      <c r="L36" s="46"/>
      <c r="M36" s="46"/>
    </row>
    <row r="37" customFormat="false" ht="21" hidden="false" customHeight="true" outlineLevel="0" collapsed="false">
      <c r="A37" s="1"/>
      <c r="B37" s="47"/>
      <c r="C37" s="47"/>
      <c r="D37" s="47"/>
      <c r="E37" s="40"/>
      <c r="F37" s="40"/>
      <c r="G37" s="40"/>
      <c r="H37" s="40"/>
      <c r="I37" s="40"/>
      <c r="J37" s="40"/>
      <c r="K37" s="47"/>
      <c r="L37" s="47"/>
      <c r="M37" s="47"/>
    </row>
    <row r="38" customFormat="false" ht="9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3.5" hidden="false" customHeight="true" outlineLevel="0" collapsed="false">
      <c r="A39" s="1"/>
      <c r="B39" s="55" t="s">
        <v>396</v>
      </c>
      <c r="C39" s="55"/>
      <c r="D39" s="55"/>
      <c r="E39" s="55"/>
      <c r="F39" s="55"/>
      <c r="G39" s="55"/>
      <c r="H39" s="55"/>
      <c r="I39" s="56" t="s">
        <v>119</v>
      </c>
      <c r="J39" s="56"/>
      <c r="K39" s="56"/>
      <c r="L39" s="56"/>
      <c r="M39" s="56"/>
    </row>
  </sheetData>
  <mergeCells count="64">
    <mergeCell ref="K1:M1"/>
    <mergeCell ref="B2:I2"/>
    <mergeCell ref="L2:M2"/>
    <mergeCell ref="B3:I3"/>
    <mergeCell ref="L3:M3"/>
    <mergeCell ref="B5:M5"/>
    <mergeCell ref="B6:M6"/>
    <mergeCell ref="C8:M8"/>
    <mergeCell ref="B9:F9"/>
    <mergeCell ref="G9:M9"/>
    <mergeCell ref="B10:F10"/>
    <mergeCell ref="G10:M10"/>
    <mergeCell ref="B11:M11"/>
    <mergeCell ref="B12:M12"/>
    <mergeCell ref="B13:D13"/>
    <mergeCell ref="E13:M13"/>
    <mergeCell ref="B14:D14"/>
    <mergeCell ref="E14:M14"/>
    <mergeCell ref="C16:M16"/>
    <mergeCell ref="B17:G17"/>
    <mergeCell ref="H17:M17"/>
    <mergeCell ref="B18:G18"/>
    <mergeCell ref="H18:M18"/>
    <mergeCell ref="B19:J19"/>
    <mergeCell ref="K19:M19"/>
    <mergeCell ref="B20:J20"/>
    <mergeCell ref="K20:M20"/>
    <mergeCell ref="C22:M22"/>
    <mergeCell ref="C23:D23"/>
    <mergeCell ref="E23:K23"/>
    <mergeCell ref="L23:M23"/>
    <mergeCell ref="C24:D24"/>
    <mergeCell ref="E24:K24"/>
    <mergeCell ref="L24:M24"/>
    <mergeCell ref="C25:D25"/>
    <mergeCell ref="E25:K25"/>
    <mergeCell ref="L25:M25"/>
    <mergeCell ref="C26:D26"/>
    <mergeCell ref="E26:K26"/>
    <mergeCell ref="L26:M26"/>
    <mergeCell ref="C27:D27"/>
    <mergeCell ref="E27:K27"/>
    <mergeCell ref="L27:M27"/>
    <mergeCell ref="C28:D28"/>
    <mergeCell ref="E28:K28"/>
    <mergeCell ref="L28:M28"/>
    <mergeCell ref="C29:D29"/>
    <mergeCell ref="E29:K29"/>
    <mergeCell ref="L29:M29"/>
    <mergeCell ref="C30:D30"/>
    <mergeCell ref="E30:K30"/>
    <mergeCell ref="L30:M30"/>
    <mergeCell ref="B31:M31"/>
    <mergeCell ref="C33:M33"/>
    <mergeCell ref="B34:M34"/>
    <mergeCell ref="B35:M35"/>
    <mergeCell ref="B36:D36"/>
    <mergeCell ref="E36:J36"/>
    <mergeCell ref="K36:M36"/>
    <mergeCell ref="B37:D37"/>
    <mergeCell ref="E37:J37"/>
    <mergeCell ref="K37:M37"/>
    <mergeCell ref="B39:H39"/>
    <mergeCell ref="I39:M39"/>
  </mergeCells>
  <dataValidations count="2"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B14 K20 C24:C30 L24:L30 B37 K37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35" type="list">
      <formula1>Listas!$S$2:$S$6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F14 · Registro de pendência documental · Modelo interno v1.0&amp;R&amp;"Arial,Regular"&amp;7 Página &amp;P de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22"/>
    <pageSetUpPr fitToPage="tru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13" min="2" style="0" width="8.4"/>
    <col collapsed="false" customWidth="true" hidden="false" outlineLevel="0" max="14" min="14" style="0" width="1.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32" t="s">
        <v>81</v>
      </c>
      <c r="L1" s="32"/>
      <c r="M1" s="32"/>
    </row>
    <row r="2" customFormat="false" ht="16.5" hidden="false" customHeight="true" outlineLevel="0" collapsed="false">
      <c r="A2" s="1"/>
      <c r="B2" s="78" t="s">
        <v>397</v>
      </c>
      <c r="C2" s="78"/>
      <c r="D2" s="78"/>
      <c r="E2" s="78"/>
      <c r="F2" s="78"/>
      <c r="G2" s="78"/>
      <c r="H2" s="78"/>
      <c r="I2" s="78"/>
      <c r="J2" s="34" t="s">
        <v>24</v>
      </c>
      <c r="K2" s="35" t="s">
        <v>83</v>
      </c>
      <c r="L2" s="36" t="s">
        <v>27</v>
      </c>
      <c r="M2" s="36"/>
    </row>
    <row r="3" customFormat="false" ht="25.5" hidden="false" customHeight="true" outlineLevel="0" collapsed="false">
      <c r="A3" s="1"/>
      <c r="B3" s="79" t="s">
        <v>77</v>
      </c>
      <c r="C3" s="79"/>
      <c r="D3" s="79"/>
      <c r="E3" s="79"/>
      <c r="F3" s="79"/>
      <c r="G3" s="79"/>
      <c r="H3" s="79"/>
      <c r="I3" s="79"/>
      <c r="J3" s="80" t="s">
        <v>76</v>
      </c>
      <c r="K3" s="81" t="s">
        <v>84</v>
      </c>
      <c r="L3" s="40"/>
      <c r="M3" s="40"/>
    </row>
    <row r="4" customFormat="false" ht="6" hidden="false" customHeight="true" outlineLevel="0" collapsed="false">
      <c r="A4" s="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customFormat="false" ht="15.75" hidden="false" customHeight="true" outlineLevel="0" collapsed="false">
      <c r="A5" s="1"/>
      <c r="B5" s="94" t="s">
        <v>398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</row>
    <row r="6" customFormat="false" ht="15.75" hidden="false" customHeight="true" outlineLevel="0" collapsed="false">
      <c r="A6" s="1"/>
      <c r="B6" s="42" t="s">
        <v>399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customFormat="false" ht="27.75" hidden="false" customHeight="true" outlineLevel="0" collapsed="false">
      <c r="A7" s="1"/>
      <c r="B7" s="83" t="s">
        <v>400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</row>
    <row r="8" customFormat="false" ht="7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customFormat="false" ht="19.5" hidden="false" customHeight="true" outlineLevel="0" collapsed="false">
      <c r="A9" s="1"/>
      <c r="B9" s="84" t="s">
        <v>87</v>
      </c>
      <c r="C9" s="85" t="s">
        <v>258</v>
      </c>
      <c r="D9" s="85"/>
      <c r="E9" s="85"/>
      <c r="F9" s="85"/>
      <c r="G9" s="85"/>
      <c r="H9" s="85"/>
      <c r="I9" s="85"/>
      <c r="J9" s="85"/>
      <c r="K9" s="85"/>
      <c r="L9" s="85"/>
      <c r="M9" s="85"/>
    </row>
    <row r="10" customFormat="false" ht="13.5" hidden="false" customHeight="true" outlineLevel="0" collapsed="false">
      <c r="A10" s="1"/>
      <c r="B10" s="46" t="s">
        <v>341</v>
      </c>
      <c r="C10" s="46"/>
      <c r="D10" s="46"/>
      <c r="E10" s="46"/>
      <c r="F10" s="46" t="s">
        <v>124</v>
      </c>
      <c r="G10" s="46"/>
      <c r="H10" s="46"/>
      <c r="I10" s="46"/>
      <c r="J10" s="46" t="s">
        <v>271</v>
      </c>
      <c r="K10" s="46"/>
      <c r="L10" s="46"/>
      <c r="M10" s="46"/>
    </row>
    <row r="11" customFormat="false" ht="21" hidden="false" customHeight="true" outlineLevel="0" collapsed="false">
      <c r="A11" s="1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customFormat="false" ht="7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customFormat="false" ht="19.5" hidden="false" customHeight="true" outlineLevel="0" collapsed="false">
      <c r="A13" s="1"/>
      <c r="B13" s="84" t="s">
        <v>94</v>
      </c>
      <c r="C13" s="85" t="s">
        <v>401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</row>
    <row r="14" customFormat="false" ht="18" hidden="false" customHeight="true" outlineLevel="0" collapsed="false">
      <c r="A14" s="1"/>
      <c r="B14" s="86" t="s">
        <v>96</v>
      </c>
      <c r="C14" s="87" t="s">
        <v>402</v>
      </c>
      <c r="D14" s="87"/>
      <c r="E14" s="87"/>
      <c r="F14" s="87"/>
      <c r="G14" s="87" t="s">
        <v>227</v>
      </c>
      <c r="H14" s="87"/>
      <c r="I14" s="87"/>
      <c r="J14" s="86" t="s">
        <v>170</v>
      </c>
      <c r="K14" s="86"/>
      <c r="L14" s="86" t="s">
        <v>403</v>
      </c>
      <c r="M14" s="86"/>
    </row>
    <row r="15" customFormat="false" ht="19.5" hidden="false" customHeight="true" outlineLevel="0" collapsed="false">
      <c r="A15" s="1"/>
      <c r="B15" s="50" t="n">
        <v>1</v>
      </c>
      <c r="C15" s="70" t="s">
        <v>404</v>
      </c>
      <c r="D15" s="70"/>
      <c r="E15" s="70"/>
      <c r="F15" s="70"/>
      <c r="G15" s="51"/>
      <c r="H15" s="51"/>
      <c r="I15" s="51"/>
      <c r="J15" s="71"/>
      <c r="K15" s="71"/>
      <c r="L15" s="88"/>
      <c r="M15" s="88"/>
    </row>
    <row r="16" customFormat="false" ht="19.5" hidden="false" customHeight="true" outlineLevel="0" collapsed="false">
      <c r="A16" s="1"/>
      <c r="B16" s="50" t="n">
        <v>2</v>
      </c>
      <c r="C16" s="70" t="s">
        <v>405</v>
      </c>
      <c r="D16" s="70"/>
      <c r="E16" s="70"/>
      <c r="F16" s="70"/>
      <c r="G16" s="51"/>
      <c r="H16" s="51"/>
      <c r="I16" s="51"/>
      <c r="J16" s="71"/>
      <c r="K16" s="71"/>
      <c r="L16" s="88"/>
      <c r="M16" s="88"/>
    </row>
    <row r="17" customFormat="false" ht="19.5" hidden="false" customHeight="true" outlineLevel="0" collapsed="false">
      <c r="A17" s="1"/>
      <c r="B17" s="50" t="n">
        <v>3</v>
      </c>
      <c r="C17" s="70" t="s">
        <v>406</v>
      </c>
      <c r="D17" s="70"/>
      <c r="E17" s="70"/>
      <c r="F17" s="70"/>
      <c r="G17" s="51"/>
      <c r="H17" s="51"/>
      <c r="I17" s="51"/>
      <c r="J17" s="71"/>
      <c r="K17" s="71"/>
      <c r="L17" s="88"/>
      <c r="M17" s="88"/>
    </row>
    <row r="18" customFormat="false" ht="19.5" hidden="false" customHeight="true" outlineLevel="0" collapsed="false">
      <c r="A18" s="1"/>
      <c r="B18" s="50" t="n">
        <v>4</v>
      </c>
      <c r="C18" s="51"/>
      <c r="D18" s="51"/>
      <c r="E18" s="51"/>
      <c r="F18" s="51"/>
      <c r="G18" s="51"/>
      <c r="H18" s="51"/>
      <c r="I18" s="51"/>
      <c r="J18" s="71"/>
      <c r="K18" s="71"/>
      <c r="L18" s="88"/>
      <c r="M18" s="88"/>
    </row>
    <row r="19" customFormat="false" ht="13.5" hidden="false" customHeight="true" outlineLevel="0" collapsed="false">
      <c r="A19" s="1"/>
      <c r="B19" s="53" t="s">
        <v>101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</row>
    <row r="20" customFormat="false" ht="7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customFormat="false" ht="19.5" hidden="false" customHeight="true" outlineLevel="0" collapsed="false">
      <c r="A21" s="1"/>
      <c r="B21" s="84" t="s">
        <v>102</v>
      </c>
      <c r="C21" s="85" t="s">
        <v>407</v>
      </c>
      <c r="D21" s="85"/>
      <c r="E21" s="85"/>
      <c r="F21" s="85"/>
      <c r="G21" s="85"/>
      <c r="H21" s="85"/>
      <c r="I21" s="85"/>
      <c r="J21" s="85"/>
      <c r="K21" s="85"/>
      <c r="L21" s="85"/>
      <c r="M21" s="85"/>
    </row>
    <row r="22" customFormat="false" ht="13.5" hidden="false" customHeight="true" outlineLevel="0" collapsed="false">
      <c r="A22" s="1"/>
      <c r="B22" s="46" t="s">
        <v>408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customFormat="false" ht="36" hidden="false" customHeight="true" outlineLevel="0" collapsed="false">
      <c r="A23" s="1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customFormat="false" ht="13.5" hidden="false" customHeight="true" outlineLevel="0" collapsed="false">
      <c r="A24" s="1"/>
      <c r="B24" s="46" t="s">
        <v>409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customFormat="false" ht="36" hidden="false" customHeight="true" outlineLevel="0" collapsed="false">
      <c r="A25" s="1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</row>
    <row r="26" customFormat="false" ht="13.5" hidden="false" customHeight="true" outlineLevel="0" collapsed="false">
      <c r="A26" s="1"/>
      <c r="B26" s="46" t="s">
        <v>410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customFormat="false" ht="36" hidden="false" customHeight="true" outlineLevel="0" collapsed="false">
      <c r="A27" s="1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</row>
    <row r="28" customFormat="false" ht="13.5" hidden="false" customHeight="true" outlineLevel="0" collapsed="false">
      <c r="A28" s="1"/>
      <c r="B28" s="46" t="s">
        <v>411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customFormat="false" ht="21" hidden="false" customHeight="true" outlineLevel="0" collapsed="false">
      <c r="A29" s="1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</row>
    <row r="30" customFormat="false" ht="13.5" hidden="false" customHeight="true" outlineLevel="0" collapsed="false">
      <c r="A30" s="1"/>
      <c r="B30" s="46" t="s">
        <v>412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customFormat="false" ht="36" hidden="false" customHeight="true" outlineLevel="0" collapsed="false">
      <c r="A31" s="1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customFormat="false" ht="7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9.5" hidden="false" customHeight="true" outlineLevel="0" collapsed="false">
      <c r="A33" s="1"/>
      <c r="B33" s="84" t="s">
        <v>107</v>
      </c>
      <c r="C33" s="85" t="s">
        <v>398</v>
      </c>
      <c r="D33" s="85"/>
      <c r="E33" s="85"/>
      <c r="F33" s="85"/>
      <c r="G33" s="85"/>
      <c r="H33" s="85"/>
      <c r="I33" s="85"/>
      <c r="J33" s="85"/>
      <c r="K33" s="85"/>
      <c r="L33" s="85"/>
      <c r="M33" s="85"/>
    </row>
    <row r="34" customFormat="false" ht="13.5" hidden="false" customHeight="true" outlineLevel="0" collapsed="false">
      <c r="A34" s="1"/>
      <c r="B34" s="46" t="s">
        <v>413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customFormat="false" ht="36" hidden="false" customHeight="true" outlineLevel="0" collapsed="false">
      <c r="A35" s="1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customFormat="false" ht="13.5" hidden="false" customHeight="true" outlineLevel="0" collapsed="false">
      <c r="A36" s="1"/>
      <c r="B36" s="46" t="s">
        <v>336</v>
      </c>
      <c r="C36" s="46"/>
      <c r="D36" s="46"/>
      <c r="E36" s="46"/>
      <c r="F36" s="46"/>
      <c r="G36" s="46"/>
      <c r="H36" s="46"/>
      <c r="I36" s="46"/>
      <c r="J36" s="46"/>
      <c r="K36" s="46" t="s">
        <v>170</v>
      </c>
      <c r="L36" s="46"/>
      <c r="M36" s="46"/>
    </row>
    <row r="37" customFormat="false" ht="21" hidden="false" customHeight="true" outlineLevel="0" collapsed="false">
      <c r="A37" s="1"/>
      <c r="B37" s="40"/>
      <c r="C37" s="40"/>
      <c r="D37" s="40"/>
      <c r="E37" s="40"/>
      <c r="F37" s="40"/>
      <c r="G37" s="40"/>
      <c r="H37" s="40"/>
      <c r="I37" s="40"/>
      <c r="J37" s="40"/>
      <c r="K37" s="47"/>
      <c r="L37" s="47"/>
      <c r="M37" s="47"/>
    </row>
    <row r="38" customFormat="false" ht="9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3.5" hidden="false" customHeight="true" outlineLevel="0" collapsed="false">
      <c r="A39" s="1"/>
      <c r="B39" s="55" t="s">
        <v>414</v>
      </c>
      <c r="C39" s="55"/>
      <c r="D39" s="55"/>
      <c r="E39" s="55"/>
      <c r="F39" s="55"/>
      <c r="G39" s="55"/>
      <c r="H39" s="55"/>
      <c r="I39" s="56" t="s">
        <v>119</v>
      </c>
      <c r="J39" s="56"/>
      <c r="K39" s="56"/>
      <c r="L39" s="56"/>
      <c r="M39" s="56"/>
    </row>
  </sheetData>
  <mergeCells count="57">
    <mergeCell ref="K1:M1"/>
    <mergeCell ref="B2:I2"/>
    <mergeCell ref="L2:M2"/>
    <mergeCell ref="B3:I3"/>
    <mergeCell ref="L3:M3"/>
    <mergeCell ref="B5:M5"/>
    <mergeCell ref="B6:M6"/>
    <mergeCell ref="B7:M7"/>
    <mergeCell ref="C9:M9"/>
    <mergeCell ref="B10:E10"/>
    <mergeCell ref="F10:I10"/>
    <mergeCell ref="J10:M10"/>
    <mergeCell ref="B11:E11"/>
    <mergeCell ref="F11:I11"/>
    <mergeCell ref="J11:M11"/>
    <mergeCell ref="C13:M13"/>
    <mergeCell ref="C14:F14"/>
    <mergeCell ref="G14:I14"/>
    <mergeCell ref="J14:K14"/>
    <mergeCell ref="L14:M14"/>
    <mergeCell ref="C15:F15"/>
    <mergeCell ref="G15:I15"/>
    <mergeCell ref="J15:K15"/>
    <mergeCell ref="L15:M15"/>
    <mergeCell ref="C16:F16"/>
    <mergeCell ref="G16:I16"/>
    <mergeCell ref="J16:K16"/>
    <mergeCell ref="L16:M16"/>
    <mergeCell ref="C17:F17"/>
    <mergeCell ref="G17:I17"/>
    <mergeCell ref="J17:K17"/>
    <mergeCell ref="L17:M17"/>
    <mergeCell ref="C18:F18"/>
    <mergeCell ref="G18:I18"/>
    <mergeCell ref="J18:K18"/>
    <mergeCell ref="L18:M18"/>
    <mergeCell ref="B19:M19"/>
    <mergeCell ref="C21:M21"/>
    <mergeCell ref="B22:M22"/>
    <mergeCell ref="B23:M23"/>
    <mergeCell ref="B24:M24"/>
    <mergeCell ref="B25:M25"/>
    <mergeCell ref="B26:M26"/>
    <mergeCell ref="B27:M27"/>
    <mergeCell ref="B28:M28"/>
    <mergeCell ref="B29:M29"/>
    <mergeCell ref="B30:M30"/>
    <mergeCell ref="B31:M31"/>
    <mergeCell ref="C33:M33"/>
    <mergeCell ref="B34:M34"/>
    <mergeCell ref="B35:M35"/>
    <mergeCell ref="B36:J36"/>
    <mergeCell ref="K36:M36"/>
    <mergeCell ref="B37:J37"/>
    <mergeCell ref="K37:M37"/>
    <mergeCell ref="B39:H39"/>
    <mergeCell ref="I39:M39"/>
  </mergeCells>
  <dataValidations count="3">
    <dataValidation allowBlank="false" error="Digite uma data no formato dd/mm/aaaa, por exemplo 23/10/2026." errorStyle="stop" errorTitle="Data inválida" operator="between" prompt="Formato dd/mm/aaaa" promptTitle="Data" showDropDown="false" showErrorMessage="true" showInputMessage="true" sqref="J15:J18 K37" type="date">
      <formula1>DATE(2000,1,1)</formula1>
      <formula2>DATE(2100,12,31)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L15:L18" type="list">
      <formula1>Listas!$L$2:$L$2</formula1>
      <formula2>0</formula2>
    </dataValidation>
    <dataValidation allowBlank="true" error="Escolha uma das opções da lista." errorStyle="stop" errorTitle="Opção inválida" operator="between" prompt="Clique na seta para escolher." promptTitle="Escolha na lista" showDropDown="false" showErrorMessage="true" showInputMessage="true" sqref="B29" type="list">
      <formula1>Listas!$T$2:$T$3</formula1>
      <formula2>0</formula2>
    </dataValidation>
  </dataValidations>
  <hyperlinks>
    <hyperlink ref="K1" r:id="rId1" location="'Início'!A1" display="‹ Voltar ao índice"/>
  </hyperlinks>
  <printOptions headings="false" gridLines="false" gridLinesSet="true" horizontalCentered="true" verticalCentered="false"/>
  <pageMargins left="0.45" right="0.45" top="0.5" bottom="0.6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&amp;L&amp;"Arial,Regular"&amp;7 F15 · Registro de encerramento do acompanhamento · Modelo interno v1.0&amp;R&amp;"Arial,Regular"&amp;7 Página &amp;P de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C39"/>
    <pageSetUpPr fitToPage="tru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62"/>
    <col collapsed="false" customWidth="true" hidden="false" outlineLevel="0" max="5" min="5" style="0" width="1.6"/>
  </cols>
  <sheetData>
    <row r="1" customFormat="false" ht="15" hidden="false" customHeight="false" outlineLevel="0" collapsed="false">
      <c r="A1" s="1"/>
      <c r="B1" s="1"/>
      <c r="C1" s="95" t="s">
        <v>81</v>
      </c>
      <c r="D1" s="95"/>
    </row>
    <row r="2" customFormat="false" ht="30" hidden="false" customHeight="true" outlineLevel="0" collapsed="false">
      <c r="A2" s="1"/>
      <c r="B2" s="96" t="s">
        <v>415</v>
      </c>
      <c r="C2" s="96"/>
      <c r="D2" s="96"/>
    </row>
    <row r="3" customFormat="false" ht="15" hidden="false" customHeight="false" outlineLevel="0" collapsed="false">
      <c r="A3" s="1"/>
      <c r="B3" s="1"/>
      <c r="C3" s="1"/>
      <c r="D3" s="1"/>
    </row>
    <row r="4" customFormat="false" ht="33.75" hidden="false" customHeight="true" outlineLevel="0" collapsed="false">
      <c r="A4" s="1"/>
      <c r="B4" s="97" t="n">
        <v>1</v>
      </c>
      <c r="C4" s="98" t="s">
        <v>416</v>
      </c>
      <c r="D4" s="99" t="s">
        <v>417</v>
      </c>
    </row>
    <row r="5" customFormat="false" ht="33.75" hidden="false" customHeight="true" outlineLevel="0" collapsed="false">
      <c r="A5" s="1"/>
      <c r="B5" s="97" t="n">
        <v>2</v>
      </c>
      <c r="C5" s="98" t="s">
        <v>418</v>
      </c>
      <c r="D5" s="99" t="s">
        <v>419</v>
      </c>
    </row>
    <row r="6" customFormat="false" ht="33.75" hidden="false" customHeight="true" outlineLevel="0" collapsed="false">
      <c r="A6" s="1"/>
      <c r="B6" s="97" t="n">
        <v>3</v>
      </c>
      <c r="C6" s="98" t="s">
        <v>420</v>
      </c>
      <c r="D6" s="99" t="s">
        <v>421</v>
      </c>
    </row>
    <row r="7" customFormat="false" ht="33.75" hidden="false" customHeight="true" outlineLevel="0" collapsed="false">
      <c r="A7" s="1"/>
      <c r="B7" s="97" t="n">
        <v>4</v>
      </c>
      <c r="C7" s="98" t="s">
        <v>422</v>
      </c>
      <c r="D7" s="99" t="s">
        <v>423</v>
      </c>
    </row>
    <row r="8" customFormat="false" ht="15" hidden="false" customHeight="false" outlineLevel="0" collapsed="false">
      <c r="A8" s="1"/>
      <c r="B8" s="1"/>
      <c r="C8" s="1"/>
      <c r="D8" s="1"/>
    </row>
    <row r="9" customFormat="false" ht="15" hidden="false" customHeight="false" outlineLevel="0" collapsed="false">
      <c r="A9" s="1"/>
      <c r="B9" s="100" t="s">
        <v>424</v>
      </c>
      <c r="C9" s="100"/>
      <c r="D9" s="100"/>
    </row>
    <row r="10" customFormat="false" ht="19.5" hidden="false" customHeight="true" outlineLevel="0" collapsed="false">
      <c r="A10" s="1"/>
      <c r="B10" s="101" t="s">
        <v>425</v>
      </c>
      <c r="C10" s="101"/>
      <c r="D10" s="101"/>
    </row>
    <row r="11" customFormat="false" ht="18" hidden="false" customHeight="true" outlineLevel="0" collapsed="false">
      <c r="A11" s="1"/>
      <c r="B11" s="25" t="s">
        <v>31</v>
      </c>
      <c r="C11" s="102" t="s">
        <v>32</v>
      </c>
      <c r="D11" s="102"/>
    </row>
    <row r="12" customFormat="false" ht="18" hidden="false" customHeight="true" outlineLevel="0" collapsed="false">
      <c r="A12" s="1"/>
      <c r="B12" s="25" t="s">
        <v>35</v>
      </c>
      <c r="C12" s="102" t="s">
        <v>36</v>
      </c>
      <c r="D12" s="102"/>
    </row>
    <row r="13" customFormat="false" ht="18" hidden="false" customHeight="true" outlineLevel="0" collapsed="false">
      <c r="A13" s="1"/>
      <c r="B13" s="25" t="s">
        <v>38</v>
      </c>
      <c r="C13" s="102" t="s">
        <v>39</v>
      </c>
      <c r="D13" s="102"/>
    </row>
    <row r="14" customFormat="false" ht="18" hidden="false" customHeight="true" outlineLevel="0" collapsed="false">
      <c r="A14" s="1"/>
      <c r="B14" s="25" t="s">
        <v>41</v>
      </c>
      <c r="C14" s="102" t="s">
        <v>42</v>
      </c>
      <c r="D14" s="102"/>
    </row>
    <row r="15" customFormat="false" ht="18" hidden="false" customHeight="true" outlineLevel="0" collapsed="false">
      <c r="A15" s="1"/>
      <c r="B15" s="25" t="s">
        <v>44</v>
      </c>
      <c r="C15" s="102" t="s">
        <v>45</v>
      </c>
      <c r="D15" s="102"/>
    </row>
    <row r="16" customFormat="false" ht="18" hidden="false" customHeight="true" outlineLevel="0" collapsed="false">
      <c r="A16" s="1"/>
      <c r="B16" s="103" t="s">
        <v>48</v>
      </c>
      <c r="C16" s="102" t="s">
        <v>49</v>
      </c>
      <c r="D16" s="102"/>
    </row>
    <row r="17" customFormat="false" ht="18" hidden="false" customHeight="true" outlineLevel="0" collapsed="false">
      <c r="A17" s="1"/>
      <c r="B17" s="103" t="s">
        <v>51</v>
      </c>
      <c r="C17" s="102" t="s">
        <v>52</v>
      </c>
      <c r="D17" s="102"/>
    </row>
    <row r="18" customFormat="false" ht="19.5" hidden="false" customHeight="true" outlineLevel="0" collapsed="false">
      <c r="A18" s="1"/>
      <c r="B18" s="101" t="s">
        <v>426</v>
      </c>
      <c r="C18" s="101"/>
      <c r="D18" s="101"/>
    </row>
    <row r="19" customFormat="false" ht="18" hidden="false" customHeight="true" outlineLevel="0" collapsed="false">
      <c r="A19" s="1"/>
      <c r="B19" s="103" t="s">
        <v>54</v>
      </c>
      <c r="C19" s="102" t="s">
        <v>55</v>
      </c>
      <c r="D19" s="102"/>
    </row>
    <row r="20" customFormat="false" ht="18" hidden="false" customHeight="true" outlineLevel="0" collapsed="false">
      <c r="A20" s="1"/>
      <c r="B20" s="103" t="s">
        <v>57</v>
      </c>
      <c r="C20" s="102" t="s">
        <v>58</v>
      </c>
      <c r="D20" s="102"/>
    </row>
    <row r="21" customFormat="false" ht="18" hidden="false" customHeight="true" outlineLevel="0" collapsed="false">
      <c r="A21" s="1"/>
      <c r="B21" s="103" t="s">
        <v>60</v>
      </c>
      <c r="C21" s="102" t="s">
        <v>61</v>
      </c>
      <c r="D21" s="102"/>
    </row>
    <row r="22" customFormat="false" ht="19.5" hidden="false" customHeight="true" outlineLevel="0" collapsed="false">
      <c r="A22" s="1"/>
      <c r="B22" s="101" t="s">
        <v>427</v>
      </c>
      <c r="C22" s="101"/>
      <c r="D22" s="101"/>
    </row>
    <row r="23" customFormat="false" ht="18" hidden="false" customHeight="true" outlineLevel="0" collapsed="false">
      <c r="A23" s="1"/>
      <c r="B23" s="104" t="s">
        <v>64</v>
      </c>
      <c r="C23" s="102" t="s">
        <v>65</v>
      </c>
      <c r="D23" s="102"/>
    </row>
    <row r="24" customFormat="false" ht="18" hidden="false" customHeight="true" outlineLevel="0" collapsed="false">
      <c r="A24" s="1"/>
      <c r="B24" s="104" t="s">
        <v>67</v>
      </c>
      <c r="C24" s="102" t="s">
        <v>68</v>
      </c>
      <c r="D24" s="102"/>
    </row>
    <row r="25" customFormat="false" ht="18" hidden="false" customHeight="true" outlineLevel="0" collapsed="false">
      <c r="A25" s="1"/>
      <c r="B25" s="104" t="s">
        <v>70</v>
      </c>
      <c r="C25" s="102" t="s">
        <v>71</v>
      </c>
      <c r="D25" s="102"/>
    </row>
    <row r="26" customFormat="false" ht="18" hidden="false" customHeight="true" outlineLevel="0" collapsed="false">
      <c r="A26" s="1"/>
      <c r="B26" s="104" t="s">
        <v>73</v>
      </c>
      <c r="C26" s="102" t="s">
        <v>74</v>
      </c>
      <c r="D26" s="102"/>
    </row>
    <row r="27" customFormat="false" ht="18" hidden="false" customHeight="true" outlineLevel="0" collapsed="false">
      <c r="A27" s="1"/>
      <c r="B27" s="104" t="s">
        <v>76</v>
      </c>
      <c r="C27" s="102" t="s">
        <v>77</v>
      </c>
      <c r="D27" s="102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45.75" hidden="false" customHeight="true" outlineLevel="0" collapsed="false">
      <c r="A29" s="1"/>
      <c r="B29" s="105" t="s">
        <v>428</v>
      </c>
      <c r="C29" s="105"/>
      <c r="D29" s="105"/>
    </row>
  </sheetData>
  <mergeCells count="22">
    <mergeCell ref="C1:D1"/>
    <mergeCell ref="B2:D2"/>
    <mergeCell ref="B9:D9"/>
    <mergeCell ref="B10:D10"/>
    <mergeCell ref="C11:D11"/>
    <mergeCell ref="C12:D12"/>
    <mergeCell ref="C13:D13"/>
    <mergeCell ref="C14:D14"/>
    <mergeCell ref="C15:D15"/>
    <mergeCell ref="C16:D16"/>
    <mergeCell ref="C17:D17"/>
    <mergeCell ref="B18:D18"/>
    <mergeCell ref="C19:D19"/>
    <mergeCell ref="C20:D20"/>
    <mergeCell ref="C21:D21"/>
    <mergeCell ref="B22:D22"/>
    <mergeCell ref="C23:D23"/>
    <mergeCell ref="C24:D24"/>
    <mergeCell ref="C25:D25"/>
    <mergeCell ref="C26:D26"/>
    <mergeCell ref="C27:D27"/>
    <mergeCell ref="B29:D29"/>
  </mergeCells>
  <hyperlinks>
    <hyperlink ref="C1" r:id="rId1" location="'Início'!A1" display="‹ Voltar ao índice"/>
    <hyperlink ref="B11" r:id="rId2" location="'F01'!A1" display="F01"/>
    <hyperlink ref="B12" r:id="rId3" location="'F02'!A1" display="F02"/>
    <hyperlink ref="B13" r:id="rId4" location="'F03'!A1" display="F03"/>
    <hyperlink ref="B14" r:id="rId5" location="'F04'!A1" display="F04"/>
    <hyperlink ref="B15" r:id="rId6" location="'F05'!A1" display="F05"/>
    <hyperlink ref="B16" r:id="rId7" location="'F06'!A1" display="F06"/>
    <hyperlink ref="B17" r:id="rId8" location="'F07'!A1" display="F07"/>
    <hyperlink ref="B19" r:id="rId9" location="'F08'!A1" display="F08"/>
    <hyperlink ref="B20" r:id="rId10" location="'F09'!A1" display="F09"/>
    <hyperlink ref="B21" r:id="rId11" location="'F10'!A1" display="F10"/>
    <hyperlink ref="B23" r:id="rId12" location="'F11'!A1" display="F11"/>
    <hyperlink ref="B24" r:id="rId13" location="'F12'!A1" display="F12"/>
    <hyperlink ref="B25" r:id="rId14" location="'F13'!A1" display="F13"/>
    <hyperlink ref="B26" r:id="rId15" location="'F14'!A1" display="F14"/>
    <hyperlink ref="B27" r:id="rId16" location="'F15'!A1" display="F1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6" t="s">
        <v>429</v>
      </c>
      <c r="B1" s="106" t="s">
        <v>430</v>
      </c>
      <c r="C1" s="106" t="s">
        <v>431</v>
      </c>
      <c r="D1" s="106" t="s">
        <v>157</v>
      </c>
      <c r="E1" s="106" t="s">
        <v>432</v>
      </c>
      <c r="F1" s="106" t="s">
        <v>433</v>
      </c>
      <c r="G1" s="106" t="s">
        <v>434</v>
      </c>
      <c r="H1" s="106" t="s">
        <v>435</v>
      </c>
      <c r="I1" s="106" t="s">
        <v>433</v>
      </c>
      <c r="J1" s="106" t="s">
        <v>436</v>
      </c>
      <c r="K1" s="106" t="s">
        <v>437</v>
      </c>
      <c r="L1" s="106" t="s">
        <v>438</v>
      </c>
      <c r="M1" s="106" t="s">
        <v>439</v>
      </c>
      <c r="N1" s="106" t="s">
        <v>440</v>
      </c>
      <c r="O1" s="106" t="s">
        <v>313</v>
      </c>
      <c r="P1" s="106" t="s">
        <v>441</v>
      </c>
      <c r="Q1" s="106" t="s">
        <v>442</v>
      </c>
      <c r="R1" s="106" t="s">
        <v>442</v>
      </c>
      <c r="S1" s="106" t="s">
        <v>443</v>
      </c>
      <c r="T1" s="106" t="s">
        <v>444</v>
      </c>
    </row>
    <row r="2" customFormat="false" ht="15" hidden="false" customHeight="false" outlineLevel="0" collapsed="false">
      <c r="A2" s="107" t="s">
        <v>445</v>
      </c>
      <c r="B2" s="107" t="s">
        <v>446</v>
      </c>
      <c r="C2" s="107" t="s">
        <v>447</v>
      </c>
      <c r="D2" s="107" t="s">
        <v>448</v>
      </c>
      <c r="E2" s="107" t="s">
        <v>449</v>
      </c>
      <c r="F2" s="107" t="s">
        <v>450</v>
      </c>
      <c r="G2" s="107" t="s">
        <v>451</v>
      </c>
      <c r="H2" s="107" t="s">
        <v>452</v>
      </c>
      <c r="I2" s="107" t="s">
        <v>273</v>
      </c>
      <c r="J2" s="107" t="s">
        <v>453</v>
      </c>
      <c r="K2" s="107" t="s">
        <v>454</v>
      </c>
      <c r="L2" s="107" t="s">
        <v>20</v>
      </c>
      <c r="M2" s="107" t="s">
        <v>455</v>
      </c>
      <c r="N2" s="107" t="s">
        <v>456</v>
      </c>
      <c r="O2" s="107" t="s">
        <v>457</v>
      </c>
      <c r="P2" s="107" t="s">
        <v>458</v>
      </c>
      <c r="Q2" s="107" t="s">
        <v>459</v>
      </c>
      <c r="R2" s="107" t="s">
        <v>459</v>
      </c>
      <c r="S2" s="107" t="s">
        <v>459</v>
      </c>
      <c r="T2" s="107" t="s">
        <v>457</v>
      </c>
    </row>
    <row r="3" customFormat="false" ht="15" hidden="false" customHeight="false" outlineLevel="0" collapsed="false">
      <c r="A3" s="107" t="s">
        <v>460</v>
      </c>
      <c r="B3" s="107" t="s">
        <v>461</v>
      </c>
      <c r="C3" s="107" t="s">
        <v>462</v>
      </c>
      <c r="D3" s="107" t="s">
        <v>463</v>
      </c>
      <c r="E3" s="107" t="s">
        <v>464</v>
      </c>
      <c r="F3" s="107" t="s">
        <v>465</v>
      </c>
      <c r="G3" s="107" t="s">
        <v>466</v>
      </c>
      <c r="H3" s="107" t="s">
        <v>467</v>
      </c>
      <c r="I3" s="107" t="s">
        <v>468</v>
      </c>
      <c r="J3" s="107" t="s">
        <v>469</v>
      </c>
      <c r="K3" s="107" t="s">
        <v>470</v>
      </c>
      <c r="L3" s="1"/>
      <c r="M3" s="107" t="s">
        <v>471</v>
      </c>
      <c r="N3" s="107" t="s">
        <v>472</v>
      </c>
      <c r="O3" s="107" t="s">
        <v>473</v>
      </c>
      <c r="P3" s="107" t="s">
        <v>474</v>
      </c>
      <c r="Q3" s="107" t="s">
        <v>475</v>
      </c>
      <c r="R3" s="107" t="s">
        <v>476</v>
      </c>
      <c r="S3" s="107" t="s">
        <v>475</v>
      </c>
      <c r="T3" s="107" t="s">
        <v>477</v>
      </c>
    </row>
    <row r="4" customFormat="false" ht="15" hidden="false" customHeight="false" outlineLevel="0" collapsed="false">
      <c r="A4" s="107" t="s">
        <v>478</v>
      </c>
      <c r="B4" s="107" t="s">
        <v>479</v>
      </c>
      <c r="C4" s="107" t="s">
        <v>480</v>
      </c>
      <c r="D4" s="107" t="s">
        <v>452</v>
      </c>
      <c r="E4" s="107" t="s">
        <v>481</v>
      </c>
      <c r="F4" s="107" t="s">
        <v>482</v>
      </c>
      <c r="G4" s="107" t="s">
        <v>483</v>
      </c>
      <c r="H4" s="107" t="s">
        <v>484</v>
      </c>
      <c r="I4" s="107" t="s">
        <v>482</v>
      </c>
      <c r="J4" s="107" t="s">
        <v>485</v>
      </c>
      <c r="K4" s="1"/>
      <c r="L4" s="1"/>
      <c r="M4" s="1"/>
      <c r="N4" s="1"/>
      <c r="O4" s="1"/>
      <c r="P4" s="107" t="s">
        <v>486</v>
      </c>
      <c r="Q4" s="107" t="s">
        <v>461</v>
      </c>
      <c r="R4" s="107" t="s">
        <v>487</v>
      </c>
      <c r="S4" s="107" t="s">
        <v>461</v>
      </c>
      <c r="T4" s="1"/>
    </row>
    <row r="5" customFormat="false" ht="15" hidden="false" customHeight="false" outlineLevel="0" collapsed="false">
      <c r="A5" s="107" t="s">
        <v>488</v>
      </c>
      <c r="B5" s="107" t="s">
        <v>489</v>
      </c>
      <c r="C5" s="107" t="s">
        <v>490</v>
      </c>
      <c r="D5" s="1"/>
      <c r="E5" s="107" t="s">
        <v>491</v>
      </c>
      <c r="F5" s="1"/>
      <c r="G5" s="107" t="s">
        <v>492</v>
      </c>
      <c r="H5" s="107" t="s">
        <v>493</v>
      </c>
      <c r="I5" s="1"/>
      <c r="J5" s="107" t="s">
        <v>494</v>
      </c>
      <c r="K5" s="1"/>
      <c r="L5" s="1"/>
      <c r="M5" s="1"/>
      <c r="N5" s="1"/>
      <c r="O5" s="1"/>
      <c r="P5" s="107" t="s">
        <v>495</v>
      </c>
      <c r="Q5" s="107" t="s">
        <v>496</v>
      </c>
      <c r="R5" s="1"/>
      <c r="S5" s="107" t="s">
        <v>279</v>
      </c>
      <c r="T5" s="1"/>
    </row>
    <row r="6" customFormat="false" ht="15" hidden="false" customHeight="false" outlineLevel="0" collapsed="false">
      <c r="A6" s="107" t="s">
        <v>497</v>
      </c>
      <c r="B6" s="107" t="s">
        <v>498</v>
      </c>
      <c r="C6" s="107" t="s">
        <v>499</v>
      </c>
      <c r="D6" s="1"/>
      <c r="E6" s="107" t="s">
        <v>500</v>
      </c>
      <c r="F6" s="1"/>
      <c r="G6" s="107" t="s">
        <v>370</v>
      </c>
      <c r="H6" s="107" t="s">
        <v>501</v>
      </c>
      <c r="I6" s="1"/>
      <c r="J6" s="107" t="s">
        <v>502</v>
      </c>
      <c r="K6" s="1"/>
      <c r="L6" s="1"/>
      <c r="M6" s="1"/>
      <c r="N6" s="1"/>
      <c r="O6" s="1"/>
      <c r="P6" s="107" t="s">
        <v>370</v>
      </c>
      <c r="Q6" s="107" t="s">
        <v>487</v>
      </c>
      <c r="R6" s="1"/>
      <c r="S6" s="107" t="s">
        <v>487</v>
      </c>
      <c r="T6" s="1"/>
    </row>
    <row r="7" customFormat="false" ht="15" hidden="false" customHeight="false" outlineLevel="0" collapsed="false">
      <c r="A7" s="107" t="s">
        <v>503</v>
      </c>
      <c r="B7" s="1"/>
      <c r="C7" s="1"/>
      <c r="D7" s="1"/>
      <c r="E7" s="1"/>
      <c r="F7" s="1"/>
      <c r="G7" s="1"/>
      <c r="H7" s="1"/>
      <c r="I7" s="1"/>
      <c r="J7" s="107" t="s">
        <v>504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107" t="s">
        <v>505</v>
      </c>
      <c r="B8" s="1"/>
      <c r="C8" s="1"/>
      <c r="D8" s="1"/>
      <c r="E8" s="1"/>
      <c r="F8" s="1"/>
      <c r="G8" s="1"/>
      <c r="H8" s="1"/>
      <c r="I8" s="1"/>
      <c r="J8" s="107" t="s">
        <v>506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107" t="s">
        <v>507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5" hidden="false" customHeight="false" outlineLevel="0" collapsed="false">
      <c r="A10" s="107" t="s">
        <v>508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07" t="s">
        <v>509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2026-10-23T15:56:45Z</dcterms:created>
  <dc:creator>openpyxl</dc:creator>
  <dc:description/>
  <dc:language>en-US</dc:language>
  <cp:lastModifiedBy/>
  <dcterms:modified xsi:type="dcterms:W3CDTF">2026-10-23T15:56:45Z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