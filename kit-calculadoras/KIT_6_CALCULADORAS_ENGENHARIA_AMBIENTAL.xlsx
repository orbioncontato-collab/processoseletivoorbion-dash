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— Painel Inicial" sheetId="1" state="visible" r:id="rId1"/>
    <sheet xmlns:r="http://schemas.openxmlformats.org/officeDocument/2006/relationships" name="01 — Comece Aqui" sheetId="2" state="visible" r:id="rId2"/>
    <sheet xmlns:r="http://schemas.openxmlformats.org/officeDocument/2006/relationships" name="02 — Vazão e Hidráulica" sheetId="3" state="visible" r:id="rId3"/>
    <sheet xmlns:r="http://schemas.openxmlformats.org/officeDocument/2006/relationships" name="03 — Carga Poluidora" sheetId="4" state="visible" r:id="rId4"/>
    <sheet xmlns:r="http://schemas.openxmlformats.org/officeDocument/2006/relationships" name="04 — Eficiência de Tratamento" sheetId="5" state="visible" r:id="rId5"/>
    <sheet xmlns:r="http://schemas.openxmlformats.org/officeDocument/2006/relationships" name="05 — Balanço de Massa" sheetId="6" state="visible" r:id="rId6"/>
    <sheet xmlns:r="http://schemas.openxmlformats.org/officeDocument/2006/relationships" name="06 — Diluição de Soluções" sheetId="7" state="visible" r:id="rId7"/>
    <sheet xmlns:r="http://schemas.openxmlformats.org/officeDocument/2006/relationships" name="07 — Dosagem Química" sheetId="8" state="visible" r:id="rId8"/>
    <sheet xmlns:r="http://schemas.openxmlformats.org/officeDocument/2006/relationships" name="08 — Exemplos Resolvidos" sheetId="9" state="visible" r:id="rId9"/>
  </sheets>
  <definedNames>
    <definedName name="_xlnm.Print_Area" localSheetId="0">'00 — Painel Inicial'!$A$1:$G$32</definedName>
    <definedName name="_xlnm.Print_Area" localSheetId="1">'01 — Comece Aqui'!$A$1:$E$122</definedName>
    <definedName name="_xlnm.Print_Area" localSheetId="2">'02 — Vazão e Hidráulica'!$A$1:$I$165</definedName>
    <definedName name="_xlnm.Print_Area" localSheetId="3">'03 — Carga Poluidora'!$A$1:$I$128</definedName>
    <definedName name="_xlnm.Print_Area" localSheetId="4">'04 — Eficiência de Tratamento'!$A$1:$I$126</definedName>
    <definedName name="_xlnm.Print_Area" localSheetId="5">'05 — Balanço de Massa'!$A$1:$I$179</definedName>
    <definedName name="_xlnm.Print_Area" localSheetId="6">'06 — Diluição de Soluções'!$A$1:$I$76</definedName>
    <definedName name="_xlnm.Print_Area" localSheetId="7">'07 — Dosagem Química'!$A$1:$I$73</definedName>
    <definedName name="_xlnm.Print_Area" localSheetId="8">'08 — Exemplos Resolvidos'!$A$1:$I$313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"/>
    <numFmt numFmtId="165" formatCode="0.0"/>
    <numFmt numFmtId="166" formatCode="#,##0.00;-#,##0.00;0.00"/>
  </numFmts>
  <fonts count="4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D9E2F3"/>
      <sz val="11"/>
    </font>
    <font>
      <name val="Arial"/>
      <b val="1"/>
      <color rgb="00FFFFFF"/>
      <sz val="11"/>
    </font>
    <font>
      <name val="Arial"/>
      <b val="1"/>
      <color rgb="001F3864"/>
      <sz val="13"/>
    </font>
    <font>
      <name val="Arial"/>
      <color rgb="00595959"/>
      <sz val="10"/>
    </font>
    <font>
      <name val="Arial"/>
      <b val="1"/>
      <i val="1"/>
      <color rgb="002E75B6"/>
      <sz val="9"/>
    </font>
    <font>
      <name val="Arial"/>
      <b val="1"/>
      <color rgb="00FFFFFF"/>
      <sz val="10"/>
    </font>
    <font>
      <name val="Arial"/>
      <b val="1"/>
      <i val="1"/>
      <color rgb="00C55A11"/>
      <sz val="9"/>
    </font>
    <font>
      <name val="Arial"/>
      <b val="1"/>
      <i val="1"/>
      <color rgb="00548235"/>
      <sz val="9"/>
    </font>
    <font>
      <name val="Arial"/>
      <b val="1"/>
      <i val="1"/>
      <color rgb="007030A0"/>
      <sz val="9"/>
    </font>
    <font>
      <name val="Arial"/>
      <b val="1"/>
      <i val="1"/>
      <color rgb="0000808C"/>
      <sz val="9"/>
    </font>
    <font>
      <name val="Arial"/>
      <b val="1"/>
      <i val="1"/>
      <color rgb="00B8860B"/>
      <sz val="9"/>
    </font>
    <font>
      <name val="Arial"/>
      <b val="1"/>
      <color rgb="00FFFFFF"/>
      <sz val="12"/>
    </font>
    <font>
      <name val="Arial"/>
      <color rgb="00262626"/>
      <sz val="10"/>
    </font>
    <font>
      <name val="Arial"/>
      <b val="1"/>
      <color rgb="00262626"/>
      <sz val="9"/>
    </font>
    <font>
      <name val="Arial"/>
      <b val="1"/>
      <color rgb="001E5631"/>
      <sz val="9"/>
    </font>
    <font>
      <name val="Arial"/>
      <b val="1"/>
      <color rgb="001F3864"/>
      <sz val="9"/>
    </font>
    <font>
      <name val="Arial"/>
      <b val="1"/>
      <color rgb="00FFFFFF"/>
      <sz val="9"/>
    </font>
    <font>
      <name val="Arial"/>
      <b val="1"/>
      <color rgb="00595959"/>
      <sz val="9"/>
    </font>
    <font>
      <name val="Arial"/>
      <b val="1"/>
      <color rgb="002E75B6"/>
      <sz val="10"/>
    </font>
    <font>
      <name val="Arial"/>
      <b val="1"/>
      <color rgb="00C00000"/>
      <sz val="9"/>
    </font>
    <font>
      <name val="Arial"/>
      <i val="1"/>
      <color rgb="00595959"/>
      <sz val="9"/>
    </font>
    <font>
      <name val="Arial"/>
      <color rgb="008C8C8C"/>
      <sz val="8"/>
    </font>
    <font>
      <name val="Arial"/>
      <b val="1"/>
      <color rgb="00FFFFFF"/>
      <sz val="17"/>
    </font>
    <font>
      <name val="Arial"/>
      <i val="1"/>
      <color rgb="00D9E2F3"/>
      <sz val="9"/>
    </font>
    <font>
      <name val="Arial"/>
      <b val="1"/>
      <color rgb="00FFFFFF"/>
      <sz val="14"/>
    </font>
    <font>
      <name val="Arial"/>
      <b val="1"/>
      <color rgb="001F3864"/>
      <sz val="10"/>
    </font>
    <font>
      <name val="Arial"/>
      <b val="1"/>
      <color rgb="002E75B6"/>
      <sz val="10"/>
      <u val="single"/>
    </font>
    <font>
      <name val="Arial"/>
      <b val="1"/>
      <color rgb="00262626"/>
      <sz val="10"/>
    </font>
    <font>
      <name val="Arial"/>
      <b val="1"/>
      <color rgb="001E5631"/>
      <sz val="10"/>
    </font>
    <font>
      <name val="Arial"/>
      <b val="1"/>
      <color rgb="00595959"/>
      <sz val="10"/>
    </font>
    <font>
      <name val="Arial"/>
      <b val="1"/>
      <color rgb="00C00000"/>
      <sz val="10"/>
    </font>
    <font>
      <name val="Arial"/>
      <b val="1"/>
      <color rgb="00595959"/>
      <sz val="8"/>
    </font>
    <font>
      <name val="Arial"/>
      <color rgb="00262626"/>
      <sz val="9"/>
    </font>
    <font>
      <name val="Arial"/>
      <color rgb="00595959"/>
      <sz val="8"/>
    </font>
    <font>
      <name val="Arial"/>
      <b val="1"/>
      <color rgb="00FFFFFF"/>
      <sz val="13"/>
    </font>
    <font>
      <name val="Arial"/>
      <b val="1"/>
      <color rgb="00FFFFFF"/>
      <sz val="9"/>
      <u val="single"/>
    </font>
    <font>
      <name val="Arial"/>
      <i val="1"/>
      <color rgb="00595959"/>
      <sz val="10"/>
    </font>
    <font>
      <name val="Arial"/>
      <b val="1"/>
      <color rgb="00262626"/>
      <sz val="11"/>
    </font>
    <font>
      <name val="Arial"/>
      <b val="1"/>
      <color rgb="001E5631"/>
      <sz val="24"/>
    </font>
    <font>
      <name val="Arial"/>
      <b val="1"/>
      <color rgb="001E5631"/>
      <sz val="13"/>
    </font>
    <font>
      <name val="Arial"/>
      <b val="1"/>
      <color rgb="001E5631"/>
      <sz val="11"/>
    </font>
    <font>
      <name val="Arial"/>
      <b val="1"/>
      <color rgb="001F3864"/>
      <sz val="12"/>
    </font>
    <font>
      <name val="Arial"/>
      <b val="1"/>
      <color rgb="001E5631"/>
      <sz val="14"/>
    </font>
    <font>
      <name val="Arial"/>
      <color rgb="00595959"/>
      <sz val="9"/>
    </font>
    <font>
      <name val="Arial"/>
      <b val="1"/>
      <color rgb="00004D55"/>
      <sz val="10"/>
    </font>
    <font>
      <name val="Arial"/>
      <b val="1"/>
      <color rgb="001F3864"/>
      <sz val="11"/>
    </font>
  </fonts>
  <fills count="3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70AD47"/>
      </patternFill>
    </fill>
    <fill>
      <patternFill patternType="solid">
        <fgColor rgb="002E75B6"/>
      </patternFill>
    </fill>
    <fill>
      <patternFill patternType="solid">
        <fgColor rgb="002E7D32"/>
      </patternFill>
    </fill>
    <fill>
      <patternFill patternType="solid">
        <fgColor rgb="00F7F7F7"/>
      </patternFill>
    </fill>
    <fill>
      <patternFill patternType="solid">
        <fgColor rgb="00C55A11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00808C"/>
      </patternFill>
    </fill>
    <fill>
      <patternFill patternType="solid">
        <fgColor rgb="00B8860B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2F5597"/>
      </patternFill>
    </fill>
    <fill>
      <patternFill patternType="solid">
        <fgColor rgb="00E2F0D9"/>
      </patternFill>
    </fill>
    <fill>
      <patternFill patternType="solid">
        <fgColor rgb="00FFF4E5"/>
      </patternFill>
    </fill>
    <fill>
      <patternFill patternType="solid">
        <fgColor rgb="008C8C8C"/>
      </patternFill>
    </fill>
    <fill>
      <patternFill patternType="solid">
        <fgColor rgb="00DCE6F1"/>
      </patternFill>
    </fill>
    <fill>
      <patternFill patternType="solid">
        <fgColor rgb="0044546A"/>
      </patternFill>
    </fill>
    <fill>
      <patternFill patternType="solid">
        <fgColor rgb="00BF9000"/>
      </patternFill>
    </fill>
    <fill>
      <patternFill patternType="solid">
        <fgColor rgb="00EEF4FB"/>
      </patternFill>
    </fill>
    <fill>
      <patternFill patternType="solid">
        <fgColor rgb="00F8CBAD"/>
      </patternFill>
    </fill>
    <fill>
      <patternFill patternType="solid">
        <fgColor rgb="00FBE5D6"/>
      </patternFill>
    </fill>
    <fill>
      <patternFill patternType="solid">
        <fgColor rgb="00006D77"/>
      </patternFill>
    </fill>
    <fill>
      <patternFill patternType="solid">
        <fgColor rgb="002A9D8F"/>
      </patternFill>
    </fill>
    <fill>
      <patternFill patternType="solid">
        <fgColor rgb="00E0F2F1"/>
      </patternFill>
    </fill>
    <fill>
      <patternFill patternType="solid">
        <fgColor rgb="00D1E1EF"/>
      </patternFill>
    </fill>
    <fill>
      <patternFill patternType="solid">
        <fgColor rgb="00F2DBCB"/>
      </patternFill>
    </fill>
    <fill>
      <patternFill patternType="solid">
        <fgColor rgb="00D9E4D3"/>
      </patternFill>
    </fill>
    <fill>
      <patternFill patternType="solid">
        <fgColor rgb="00E0D1EA"/>
      </patternFill>
    </fill>
    <fill>
      <patternFill patternType="solid">
        <fgColor rgb="00C7E3E6"/>
      </patternFill>
    </fill>
    <fill>
      <patternFill patternType="solid">
        <fgColor rgb="00EFE4C9"/>
      </patternFill>
    </fill>
  </fills>
  <borders count="9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DEBF7"/>
      </left>
      <right style="thin">
        <color rgb="00DDEBF7"/>
      </right>
      <top style="thin">
        <color rgb="00DDEBF7"/>
      </top>
      <bottom style="thin">
        <color rgb="00DDEBF7"/>
      </bottom>
    </border>
    <border>
      <left style="medium">
        <color rgb="00BF9000"/>
      </left>
      <right style="medium">
        <color rgb="00BF9000"/>
      </right>
      <top style="medium">
        <color rgb="00BF9000"/>
      </top>
      <bottom style="medium">
        <color rgb="00BF9000"/>
      </bottom>
    </border>
    <border>
      <left style="thin">
        <color rgb="00BF9000"/>
      </left>
      <right style="thin">
        <color rgb="00BF9000"/>
      </right>
      <top style="thin">
        <color rgb="00BF9000"/>
      </top>
      <bottom style="thin">
        <color rgb="00BF9000"/>
      </bottom>
    </border>
    <border>
      <left style="thin">
        <color rgb="00E2F0D9"/>
      </left>
      <right style="thin">
        <color rgb="00E2F0D9"/>
      </right>
      <top style="thin">
        <color rgb="00E2F0D9"/>
      </top>
      <bottom style="thin">
        <color rgb="00E2F0D9"/>
      </bottom>
    </border>
    <border>
      <left style="medium">
        <color rgb="002E7D32"/>
      </left>
      <right style="medium">
        <color rgb="002E7D32"/>
      </right>
      <top style="medium">
        <color rgb="002E7D32"/>
      </top>
      <bottom style="medium">
        <color rgb="002E7D32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</borders>
  <cellStyleXfs count="1">
    <xf numFmtId="0" fontId="0" fillId="0" borderId="0"/>
  </cellStyleXfs>
  <cellXfs count="154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 indent="1"/>
    </xf>
    <xf numFmtId="0" fontId="3" fillId="8" borderId="2" applyAlignment="1" pivotButton="0" quotePrefix="0" xfId="0">
      <alignment horizontal="left" vertical="center" wrapText="1" indent="1"/>
    </xf>
    <xf numFmtId="0" fontId="3" fillId="9" borderId="2" applyAlignment="1" pivotButton="0" quotePrefix="0" xfId="0">
      <alignment horizontal="left" vertical="center" wrapText="1" indent="1"/>
    </xf>
    <xf numFmtId="0" fontId="4" fillId="7" borderId="2" applyAlignment="1" pivotButton="0" quotePrefix="0" xfId="0">
      <alignment horizontal="left" vertical="center" wrapText="1" indent="1"/>
    </xf>
    <xf numFmtId="0" fontId="5" fillId="7" borderId="2" applyAlignment="1" pivotButton="0" quotePrefix="0" xfId="0">
      <alignment horizontal="left" vertical="top" wrapText="1" indent="1"/>
    </xf>
    <xf numFmtId="0" fontId="6" fillId="7" borderId="2" applyAlignment="1" pivotButton="0" quotePrefix="0" xfId="0">
      <alignment horizontal="left" vertical="center" wrapText="1" indent="1"/>
    </xf>
    <xf numFmtId="0" fontId="8" fillId="7" borderId="2" applyAlignment="1" pivotButton="0" quotePrefix="0" xfId="0">
      <alignment horizontal="left" vertical="center" wrapText="1" indent="1"/>
    </xf>
    <xf numFmtId="0" fontId="9" fillId="7" borderId="2" applyAlignment="1" pivotButton="0" quotePrefix="0" xfId="0">
      <alignment horizontal="left" vertical="center" wrapText="1" indent="1"/>
    </xf>
    <xf numFmtId="0" fontId="7" fillId="5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left" vertical="center" wrapText="1" indent="1"/>
    </xf>
    <xf numFmtId="0" fontId="3" fillId="11" borderId="2" applyAlignment="1" pivotButton="0" quotePrefix="0" xfId="0">
      <alignment horizontal="left" vertical="center" wrapText="1" indent="1"/>
    </xf>
    <xf numFmtId="0" fontId="3" fillId="12" borderId="2" applyAlignment="1" pivotButton="0" quotePrefix="0" xfId="0">
      <alignment horizontal="left" vertical="center" wrapText="1" indent="1"/>
    </xf>
    <xf numFmtId="0" fontId="10" fillId="7" borderId="2" applyAlignment="1" pivotButton="0" quotePrefix="0" xfId="0">
      <alignment horizontal="left" vertical="center" wrapText="1" indent="1"/>
    </xf>
    <xf numFmtId="0" fontId="11" fillId="7" borderId="2" applyAlignment="1" pivotButton="0" quotePrefix="0" xfId="0">
      <alignment horizontal="left" vertical="center" wrapText="1" indent="1"/>
    </xf>
    <xf numFmtId="0" fontId="12" fillId="7" borderId="2" applyAlignment="1" pivotButton="0" quotePrefix="0" xfId="0">
      <alignment horizontal="left" vertical="center" wrapText="1" indent="1"/>
    </xf>
    <xf numFmtId="0" fontId="13" fillId="3" borderId="0" applyAlignment="1" pivotButton="0" quotePrefix="0" xfId="0">
      <alignment horizontal="left" vertical="center" wrapText="1" indent="1"/>
    </xf>
    <xf numFmtId="0" fontId="14" fillId="7" borderId="2" applyAlignment="1" pivotButton="0" quotePrefix="0" xfId="0">
      <alignment horizontal="left" vertical="center" wrapText="1" indent="1"/>
    </xf>
    <xf numFmtId="0" fontId="15" fillId="13" borderId="1" applyAlignment="1" pivotButton="0" quotePrefix="0" xfId="0">
      <alignment horizontal="left" vertical="center" wrapText="1" indent="1"/>
    </xf>
    <xf numFmtId="0" fontId="16" fillId="14" borderId="1" applyAlignment="1" pivotButton="0" quotePrefix="0" xfId="0">
      <alignment horizontal="left" vertical="center" wrapText="1" indent="1"/>
    </xf>
    <xf numFmtId="0" fontId="17" fillId="15" borderId="1" applyAlignment="1" pivotButton="0" quotePrefix="0" xfId="0">
      <alignment horizontal="left" vertical="center" wrapText="1" indent="1"/>
    </xf>
    <xf numFmtId="0" fontId="18" fillId="5" borderId="1" applyAlignment="1" pivotButton="0" quotePrefix="0" xfId="0">
      <alignment horizontal="left" vertical="center" wrapText="1" indent="1"/>
    </xf>
    <xf numFmtId="0" fontId="19" fillId="16" borderId="1" applyAlignment="1" pivotButton="0" quotePrefix="0" xfId="0">
      <alignment horizontal="left" vertical="center" wrapText="1" indent="1"/>
    </xf>
    <xf numFmtId="0" fontId="20" fillId="7" borderId="2" applyAlignment="1" pivotButton="0" quotePrefix="0" xfId="0">
      <alignment horizontal="left" vertical="center" wrapText="1" indent="1"/>
    </xf>
    <xf numFmtId="0" fontId="21" fillId="17" borderId="1" applyAlignment="1" pivotButton="0" quotePrefix="0" xfId="0">
      <alignment horizontal="left" vertical="center" wrapText="1" indent="1"/>
    </xf>
    <xf numFmtId="0" fontId="22" fillId="16" borderId="0" applyAlignment="1" pivotButton="0" quotePrefix="0" xfId="0">
      <alignment horizontal="left" vertical="center" wrapText="1" indent="1"/>
    </xf>
    <xf numFmtId="0" fontId="23" fillId="2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4" fillId="3" borderId="0" applyAlignment="1" pivotButton="0" quotePrefix="0" xfId="0">
      <alignment horizontal="left" vertical="center" wrapText="1" indent="1"/>
    </xf>
    <xf numFmtId="0" fontId="25" fillId="3" borderId="0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center" wrapText="1" indent="1"/>
    </xf>
    <xf numFmtId="0" fontId="28" fillId="7" borderId="2" applyAlignment="1" pivotButton="0" quotePrefix="0" xfId="0">
      <alignment horizontal="left" vertical="center" wrapText="1" indent="1"/>
    </xf>
    <xf numFmtId="0" fontId="28" fillId="2" borderId="2" applyAlignment="1" pivotButton="0" quotePrefix="0" xfId="0">
      <alignment horizontal="left" vertical="center" wrapText="1" indent="1"/>
    </xf>
    <xf numFmtId="0" fontId="14" fillId="2" borderId="2" applyAlignment="1" pivotButton="0" quotePrefix="0" xfId="0">
      <alignment horizontal="left" vertical="center" wrapText="1" indent="1"/>
    </xf>
    <xf numFmtId="0" fontId="27" fillId="7" borderId="2" applyAlignment="1" pivotButton="0" quotePrefix="0" xfId="0">
      <alignment horizontal="left" vertical="center" wrapText="1" indent="1"/>
    </xf>
    <xf numFmtId="0" fontId="27" fillId="2" borderId="2" applyAlignment="1" pivotButton="0" quotePrefix="0" xfId="0">
      <alignment horizontal="left" vertical="center" wrapText="1" indent="1"/>
    </xf>
    <xf numFmtId="0" fontId="29" fillId="13" borderId="2" applyAlignment="1" pivotButton="0" quotePrefix="0" xfId="0">
      <alignment horizontal="left" vertical="center" wrapText="1" indent="1"/>
    </xf>
    <xf numFmtId="0" fontId="30" fillId="14" borderId="2" applyAlignment="1" pivotButton="0" quotePrefix="0" xfId="0">
      <alignment horizontal="left" vertical="center" wrapText="1" indent="1"/>
    </xf>
    <xf numFmtId="0" fontId="27" fillId="15" borderId="2" applyAlignment="1" pivotButton="0" quotePrefix="0" xfId="0">
      <alignment horizontal="left" vertical="center" wrapText="1" indent="1"/>
    </xf>
    <xf numFmtId="0" fontId="7" fillId="5" borderId="2" applyAlignment="1" pivotButton="0" quotePrefix="0" xfId="0">
      <alignment horizontal="left" vertical="center" wrapText="1" indent="1"/>
    </xf>
    <xf numFmtId="0" fontId="7" fillId="3" borderId="2" applyAlignment="1" pivotButton="0" quotePrefix="0" xfId="0">
      <alignment horizontal="left" vertical="center" wrapText="1" indent="1"/>
    </xf>
    <xf numFmtId="0" fontId="31" fillId="16" borderId="2" applyAlignment="1" pivotButton="0" quotePrefix="0" xfId="0">
      <alignment horizontal="left" vertical="center" wrapText="1" indent="1"/>
    </xf>
    <xf numFmtId="0" fontId="32" fillId="17" borderId="2" applyAlignment="1" pivotButton="0" quotePrefix="0" xfId="0">
      <alignment horizontal="left" vertical="center" wrapText="1" indent="1"/>
    </xf>
    <xf numFmtId="0" fontId="14" fillId="20" borderId="2" applyAlignment="1" pivotButton="0" quotePrefix="0" xfId="0">
      <alignment horizontal="left" vertical="center" wrapText="1" indent="1"/>
    </xf>
    <xf numFmtId="0" fontId="0" fillId="5" borderId="0" pivotButton="0" quotePrefix="0" xfId="0"/>
    <xf numFmtId="0" fontId="18" fillId="21" borderId="0" applyAlignment="1" pivotButton="0" quotePrefix="0" xfId="0">
      <alignment horizontal="left" vertical="center" wrapText="1" indent="1"/>
    </xf>
    <xf numFmtId="0" fontId="33" fillId="16" borderId="0" applyAlignment="1" pivotButton="0" quotePrefix="0" xfId="0">
      <alignment horizontal="left" vertical="center" wrapText="1" indent="1"/>
    </xf>
    <xf numFmtId="0" fontId="33" fillId="16" borderId="0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left" vertical="center"/>
    </xf>
    <xf numFmtId="0" fontId="27" fillId="15" borderId="3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wrapText="1" indent="1"/>
    </xf>
    <xf numFmtId="0" fontId="19" fillId="16" borderId="2" applyAlignment="1" pivotButton="0" quotePrefix="0" xfId="0">
      <alignment horizontal="left" vertical="center" wrapText="1" indent="1"/>
    </xf>
    <xf numFmtId="0" fontId="34" fillId="7" borderId="2" applyAlignment="1" pivotButton="0" quotePrefix="0" xfId="0">
      <alignment horizontal="left" vertical="center" wrapText="1" indent="1"/>
    </xf>
    <xf numFmtId="0" fontId="29" fillId="13" borderId="4" applyAlignment="1" applyProtection="1" pivotButton="0" quotePrefix="0" xfId="0">
      <alignment horizontal="center" vertical="center" wrapText="1"/>
      <protection locked="0" hidden="0"/>
    </xf>
    <xf numFmtId="0" fontId="29" fillId="13" borderId="4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 indent="1"/>
    </xf>
    <xf numFmtId="0" fontId="30" fillId="19" borderId="2" applyAlignment="1" pivotButton="0" quotePrefix="0" xfId="0">
      <alignment horizontal="left" vertical="center" wrapText="1" indent="1"/>
    </xf>
    <xf numFmtId="0" fontId="44" fillId="2" borderId="8" applyAlignment="1" pivotButton="0" quotePrefix="0" xfId="0">
      <alignment horizontal="left" vertical="center" wrapText="1" indent="1"/>
    </xf>
    <xf numFmtId="0" fontId="29" fillId="2" borderId="2" applyAlignment="1" pivotButton="0" quotePrefix="0" xfId="0">
      <alignment horizontal="left" vertical="center" wrapText="1" indent="1"/>
    </xf>
    <xf numFmtId="0" fontId="36" fillId="5" borderId="0" applyAlignment="1" pivotButton="0" quotePrefix="0" xfId="0">
      <alignment horizontal="left" vertical="center" wrapText="1" indent="1"/>
    </xf>
    <xf numFmtId="0" fontId="37" fillId="5" borderId="0" applyAlignment="1" pivotButton="0" quotePrefix="0" xfId="0">
      <alignment horizontal="right" vertical="center" wrapText="1" indent="1"/>
    </xf>
    <xf numFmtId="0" fontId="38" fillId="7" borderId="0" applyAlignment="1" pivotButton="0" quotePrefix="0" xfId="0">
      <alignment horizontal="left" vertical="center" wrapText="1" indent="1"/>
    </xf>
    <xf numFmtId="0" fontId="17" fillId="22" borderId="0" applyAlignment="1" pivotButton="0" quotePrefix="0" xfId="0">
      <alignment horizontal="left" vertical="center" wrapText="1" indent="1"/>
    </xf>
    <xf numFmtId="0" fontId="39" fillId="13" borderId="4" applyAlignment="1" applyProtection="1" pivotButton="0" quotePrefix="0" xfId="0">
      <alignment horizontal="center" vertical="center" wrapText="1"/>
      <protection locked="0" hidden="0"/>
    </xf>
    <xf numFmtId="0" fontId="39" fillId="13" borderId="4" applyAlignment="1" pivotButton="0" quotePrefix="0" xfId="0">
      <alignment horizontal="center" vertical="center" wrapText="1"/>
    </xf>
    <xf numFmtId="0" fontId="18" fillId="23" borderId="1" applyAlignment="1" pivotButton="0" quotePrefix="0" xfId="0">
      <alignment horizontal="center" vertical="center" wrapText="1"/>
    </xf>
    <xf numFmtId="0" fontId="18" fillId="2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5" fillId="16" borderId="2" applyAlignment="1" pivotButton="0" quotePrefix="0" xfId="0">
      <alignment horizontal="center" vertical="center" wrapText="1"/>
    </xf>
    <xf numFmtId="0" fontId="29" fillId="13" borderId="5" applyAlignment="1" applyProtection="1" pivotButton="0" quotePrefix="0" xfId="0">
      <alignment horizontal="center" vertical="center" wrapText="1"/>
      <protection locked="0" hidden="0"/>
    </xf>
    <xf numFmtId="0" fontId="19" fillId="2" borderId="2" applyAlignment="1" pivotButton="0" quotePrefix="0" xfId="0">
      <alignment horizontal="center" vertical="center" wrapText="1"/>
    </xf>
    <xf numFmtId="0" fontId="30" fillId="15" borderId="2" applyAlignment="1" pivotButton="0" quotePrefix="0" xfId="0">
      <alignment horizontal="center" vertical="center" wrapText="1"/>
    </xf>
    <xf numFmtId="0" fontId="22" fillId="2" borderId="2" applyAlignment="1" pivotButton="0" quotePrefix="0" xfId="0">
      <alignment horizontal="left" vertical="center" wrapText="1" indent="1"/>
    </xf>
    <xf numFmtId="0" fontId="3" fillId="6" borderId="0" applyAlignment="1" pivotButton="0" quotePrefix="0" xfId="0">
      <alignment horizontal="left" vertical="center" wrapText="1" indent="1"/>
    </xf>
    <xf numFmtId="0" fontId="30" fillId="19" borderId="6" applyAlignment="1" pivotButton="0" quotePrefix="0" xfId="0">
      <alignment horizontal="left" vertical="center" wrapText="1" indent="1"/>
    </xf>
    <xf numFmtId="0" fontId="16" fillId="19" borderId="6" applyAlignment="1" pivotButton="0" quotePrefix="0" xfId="0">
      <alignment horizontal="left" vertical="center" wrapText="1" indent="1"/>
    </xf>
    <xf numFmtId="164" fontId="40" fillId="2" borderId="7" applyAlignment="1" pivotButton="0" quotePrefix="0" xfId="0">
      <alignment horizontal="center" vertical="center" wrapText="1"/>
    </xf>
    <xf numFmtId="0" fontId="40" fillId="2" borderId="7" applyAlignment="1" pivotButton="0" quotePrefix="0" xfId="0">
      <alignment horizontal="center" vertical="center" wrapText="1"/>
    </xf>
    <xf numFmtId="0" fontId="41" fillId="2" borderId="7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left" vertical="center" wrapText="1" indent="1"/>
    </xf>
    <xf numFmtId="164" fontId="42" fillId="2" borderId="6" applyAlignment="1" pivotButton="0" quotePrefix="0" xfId="0">
      <alignment horizontal="center" vertical="center" wrapText="1"/>
    </xf>
    <xf numFmtId="0" fontId="19" fillId="19" borderId="1" applyAlignment="1" pivotButton="0" quotePrefix="0" xfId="0">
      <alignment horizontal="left" vertical="center" wrapText="1" indent="1"/>
    </xf>
    <xf numFmtId="0" fontId="0" fillId="19" borderId="0" pivotButton="0" quotePrefix="0" xfId="0"/>
    <xf numFmtId="0" fontId="16" fillId="19" borderId="1" applyAlignment="1" pivotButton="0" quotePrefix="0" xfId="0">
      <alignment horizontal="left" vertical="center" wrapText="1" indent="1"/>
    </xf>
    <xf numFmtId="0" fontId="14" fillId="2" borderId="6" applyAlignment="1" pivotButton="0" quotePrefix="0" xfId="0">
      <alignment horizontal="left" vertical="center" wrapText="1" indent="1"/>
    </xf>
    <xf numFmtId="0" fontId="29" fillId="2" borderId="6" applyAlignment="1" pivotButton="0" quotePrefix="0" xfId="0">
      <alignment horizontal="left" vertical="center" wrapText="1" indent="1"/>
    </xf>
    <xf numFmtId="0" fontId="3" fillId="23" borderId="0" applyAlignment="1" pivotButton="0" quotePrefix="0" xfId="0">
      <alignment horizontal="left" vertical="center" wrapText="1" indent="1"/>
    </xf>
    <xf numFmtId="0" fontId="43" fillId="25" borderId="2" applyAlignment="1" pivotButton="0" quotePrefix="0" xfId="0">
      <alignment horizontal="left" vertical="center" wrapText="1" indent="1"/>
    </xf>
    <xf numFmtId="0" fontId="19" fillId="26" borderId="2" applyAlignment="1" pivotButton="0" quotePrefix="0" xfId="0">
      <alignment horizontal="left" vertical="center" wrapText="1" indent="1"/>
    </xf>
    <xf numFmtId="0" fontId="14" fillId="17" borderId="2" applyAlignment="1" pivotButton="0" quotePrefix="0" xfId="0">
      <alignment horizontal="left" vertical="center" wrapText="1" indent="1"/>
    </xf>
    <xf numFmtId="0" fontId="19" fillId="15" borderId="2" applyAlignment="1" pivotButton="0" quotePrefix="0" xfId="0">
      <alignment horizontal="left" vertical="center" wrapText="1" indent="1"/>
    </xf>
    <xf numFmtId="0" fontId="14" fillId="25" borderId="2" applyAlignment="1" pivotButton="0" quotePrefix="0" xfId="0">
      <alignment horizontal="left" vertical="center" wrapText="1" indent="1"/>
    </xf>
    <xf numFmtId="0" fontId="0" fillId="8" borderId="0" pivotButton="0" quotePrefix="0" xfId="0"/>
    <xf numFmtId="0" fontId="0" fillId="9" borderId="0" pivotButton="0" quotePrefix="0" xfId="0"/>
    <xf numFmtId="165" fontId="40" fillId="2" borderId="7" applyAlignment="1" pivotButton="0" quotePrefix="0" xfId="0">
      <alignment horizontal="center" vertical="center" wrapText="1"/>
    </xf>
    <xf numFmtId="166" fontId="42" fillId="2" borderId="6" applyAlignment="1" pivotButton="0" quotePrefix="0" xfId="0">
      <alignment horizontal="center" vertical="center" wrapText="1"/>
    </xf>
    <xf numFmtId="165" fontId="42" fillId="2" borderId="6" applyAlignment="1" pivotButton="0" quotePrefix="0" xfId="0">
      <alignment horizontal="center" vertical="center" wrapText="1"/>
    </xf>
    <xf numFmtId="0" fontId="19" fillId="16" borderId="0" applyAlignment="1" pivotButton="0" quotePrefix="0" xfId="0">
      <alignment horizontal="left" vertical="center" wrapText="1" indent="1"/>
    </xf>
    <xf numFmtId="164" fontId="30" fillId="2" borderId="2" applyAlignment="1" pivotButton="0" quotePrefix="0" xfId="0">
      <alignment horizontal="center" vertical="center" wrapText="1"/>
    </xf>
    <xf numFmtId="0" fontId="45" fillId="7" borderId="2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top" wrapText="1" indent="1"/>
    </xf>
    <xf numFmtId="0" fontId="19" fillId="27" borderId="2" applyAlignment="1" pivotButton="0" quotePrefix="0" xfId="0">
      <alignment horizontal="left" vertical="center" wrapText="1" indent="1"/>
    </xf>
    <xf numFmtId="0" fontId="0" fillId="10" borderId="0" pivotButton="0" quotePrefix="0" xfId="0"/>
    <xf numFmtId="166" fontId="40" fillId="2" borderId="7" applyAlignment="1" pivotButton="0" quotePrefix="0" xfId="0">
      <alignment horizontal="center" vertical="center" wrapText="1"/>
    </xf>
    <xf numFmtId="0" fontId="42" fillId="2" borderId="6" applyAlignment="1" pivotButton="0" quotePrefix="0" xfId="0">
      <alignment horizontal="center" vertical="center" wrapText="1"/>
    </xf>
    <xf numFmtId="0" fontId="0" fillId="11" borderId="0" pivotButton="0" quotePrefix="0" xfId="0"/>
    <xf numFmtId="0" fontId="3" fillId="11" borderId="0" applyAlignment="1" pivotButton="0" quotePrefix="0" xfId="0">
      <alignment horizontal="left" vertical="center" wrapText="1" indent="1"/>
    </xf>
    <xf numFmtId="0" fontId="7" fillId="28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29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6" fillId="30" borderId="1" applyAlignment="1" pivotButton="0" quotePrefix="0" xfId="0">
      <alignment horizontal="center" vertical="center" wrapText="1"/>
    </xf>
    <xf numFmtId="0" fontId="0" fillId="12" borderId="0" pivotButton="0" quotePrefix="0" xfId="0"/>
    <xf numFmtId="0" fontId="0" fillId="24" borderId="0" pivotButton="0" quotePrefix="0" xfId="0"/>
    <xf numFmtId="0" fontId="27" fillId="15" borderId="0" applyAlignment="1" pivotButton="0" quotePrefix="0" xfId="0">
      <alignment horizontal="left" vertical="center" wrapText="1" indent="1"/>
    </xf>
    <xf numFmtId="0" fontId="7" fillId="8" borderId="1" applyAlignment="1" pivotButton="0" quotePrefix="0" xfId="0">
      <alignment horizontal="left" vertical="center" wrapText="1" indent="1"/>
    </xf>
    <xf numFmtId="0" fontId="7" fillId="9" borderId="1" applyAlignment="1" pivotButton="0" quotePrefix="0" xfId="0">
      <alignment horizontal="left" vertical="center" wrapText="1" indent="1"/>
    </xf>
    <xf numFmtId="0" fontId="7" fillId="10" borderId="1" applyAlignment="1" pivotButton="0" quotePrefix="0" xfId="0">
      <alignment horizontal="left" vertical="center" wrapText="1" indent="1"/>
    </xf>
    <xf numFmtId="0" fontId="7" fillId="11" borderId="1" applyAlignment="1" pivotButton="0" quotePrefix="0" xfId="0">
      <alignment horizontal="left" vertical="center" wrapText="1" indent="1"/>
    </xf>
    <xf numFmtId="0" fontId="7" fillId="12" borderId="1" applyAlignment="1" pivotButton="0" quotePrefix="0" xfId="0">
      <alignment horizontal="left" vertical="center" wrapText="1" indent="1"/>
    </xf>
    <xf numFmtId="0" fontId="26" fillId="5" borderId="0" applyAlignment="1" pivotButton="0" quotePrefix="0" xfId="0">
      <alignment horizontal="left" vertical="center" wrapText="1" indent="1"/>
    </xf>
    <xf numFmtId="0" fontId="47" fillId="31" borderId="0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center" vertical="center" wrapText="1"/>
    </xf>
    <xf numFmtId="0" fontId="47" fillId="25" borderId="2" applyAlignment="1" pivotButton="0" quotePrefix="0" xfId="0">
      <alignment horizontal="left" vertical="center" wrapText="1" indent="1"/>
    </xf>
    <xf numFmtId="0" fontId="19" fillId="14" borderId="2" applyAlignment="1" pivotButton="0" quotePrefix="0" xfId="0">
      <alignment horizontal="left" vertical="center" wrapText="1" indent="1"/>
    </xf>
    <xf numFmtId="0" fontId="42" fillId="19" borderId="2" applyAlignment="1" pivotButton="0" quotePrefix="0" xfId="0">
      <alignment horizontal="left" vertical="center" wrapText="1" indent="1"/>
    </xf>
    <xf numFmtId="0" fontId="26" fillId="8" borderId="0" applyAlignment="1" pivotButton="0" quotePrefix="0" xfId="0">
      <alignment horizontal="left" vertical="center" wrapText="1" indent="1"/>
    </xf>
    <xf numFmtId="0" fontId="37" fillId="8" borderId="0" applyAlignment="1" pivotButton="0" quotePrefix="0" xfId="0">
      <alignment horizontal="right" vertical="center" wrapText="1" indent="1"/>
    </xf>
    <xf numFmtId="0" fontId="47" fillId="32" borderId="0" applyAlignment="1" pivotButton="0" quotePrefix="0" xfId="0">
      <alignment horizontal="left" vertical="center" wrapText="1" indent="1"/>
    </xf>
    <xf numFmtId="0" fontId="26" fillId="9" borderId="0" applyAlignment="1" pivotButton="0" quotePrefix="0" xfId="0">
      <alignment horizontal="left" vertical="center" wrapText="1" indent="1"/>
    </xf>
    <xf numFmtId="0" fontId="37" fillId="9" borderId="0" applyAlignment="1" pivotButton="0" quotePrefix="0" xfId="0">
      <alignment horizontal="right" vertical="center" wrapText="1" indent="1"/>
    </xf>
    <xf numFmtId="0" fontId="47" fillId="33" borderId="0" applyAlignment="1" pivotButton="0" quotePrefix="0" xfId="0">
      <alignment horizontal="left" vertical="center" wrapText="1" indent="1"/>
    </xf>
    <xf numFmtId="0" fontId="26" fillId="10" borderId="0" applyAlignment="1" pivotButton="0" quotePrefix="0" xfId="0">
      <alignment horizontal="left" vertical="center" wrapText="1" indent="1"/>
    </xf>
    <xf numFmtId="0" fontId="37" fillId="10" borderId="0" applyAlignment="1" pivotButton="0" quotePrefix="0" xfId="0">
      <alignment horizontal="right" vertical="center" wrapText="1" indent="1"/>
    </xf>
    <xf numFmtId="0" fontId="47" fillId="34" borderId="0" applyAlignment="1" pivotButton="0" quotePrefix="0" xfId="0">
      <alignment horizontal="left" vertical="center" wrapText="1" indent="1"/>
    </xf>
    <xf numFmtId="0" fontId="26" fillId="11" borderId="0" applyAlignment="1" pivotButton="0" quotePrefix="0" xfId="0">
      <alignment horizontal="left" vertical="center" wrapText="1" indent="1"/>
    </xf>
    <xf numFmtId="0" fontId="37" fillId="11" borderId="0" applyAlignment="1" pivotButton="0" quotePrefix="0" xfId="0">
      <alignment horizontal="right" vertical="center" wrapText="1" indent="1"/>
    </xf>
    <xf numFmtId="0" fontId="47" fillId="35" borderId="0" applyAlignment="1" pivotButton="0" quotePrefix="0" xfId="0">
      <alignment horizontal="left" vertical="center" wrapText="1" indent="1"/>
    </xf>
    <xf numFmtId="0" fontId="26" fillId="12" borderId="0" applyAlignment="1" pivotButton="0" quotePrefix="0" xfId="0">
      <alignment horizontal="left" vertical="center" wrapText="1" indent="1"/>
    </xf>
    <xf numFmtId="0" fontId="37" fillId="12" borderId="0" applyAlignment="1" pivotButton="0" quotePrefix="0" xfId="0">
      <alignment horizontal="right" vertical="center" wrapText="1" indent="1"/>
    </xf>
    <xf numFmtId="0" fontId="47" fillId="36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7">
    <dxf>
      <fill>
        <patternFill patternType="solid">
          <fgColor rgb="002E7D32"/>
        </patternFill>
      </fill>
    </dxf>
    <dxf>
      <font>
        <name val="Arial"/>
        <b val="1"/>
        <color rgb="001F3864"/>
        <sz val="10"/>
      </font>
      <fill>
        <patternFill patternType="solid">
          <fgColor rgb="00DDEBF7"/>
        </patternFill>
      </fill>
    </dxf>
    <dxf>
      <fill>
        <patternFill patternType="solid">
          <fgColor rgb="00FFE699"/>
        </patternFill>
      </fill>
    </dxf>
    <dxf>
      <font>
        <name val="Arial"/>
        <b val="1"/>
        <color rgb="008C8C8C"/>
        <sz val="24"/>
      </font>
    </dxf>
    <dxf>
      <font>
        <name val="Arial"/>
        <b val="1"/>
        <color rgb="001E5631"/>
        <sz val="10"/>
      </font>
      <fill>
        <patternFill patternType="solid">
          <fgColor rgb="00C6EFCE"/>
        </patternFill>
      </fill>
    </dxf>
    <dxf>
      <font>
        <name val="Arial"/>
        <b val="1"/>
        <color rgb="00C00000"/>
        <sz val="10"/>
      </font>
      <fill>
        <patternFill patternType="solid">
          <fgColor rgb="00FCE4E4"/>
        </patternFill>
      </fill>
    </dxf>
    <dxf>
      <font>
        <name val="Arial"/>
        <i val="1"/>
        <color rgb="008C8C8C"/>
        <sz val="10"/>
      </font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Concentração antes e depois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C55A11"/>
            </a:solidFill>
            <a:ln xmlns:a="http://schemas.openxmlformats.org/drawingml/2006/main">
              <a:solidFill>
                <a:srgbClr val="C55A11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'04 — Eficiência de Tratamento'!$E$50:$E$51</f>
            </numRef>
          </cat>
          <val>
            <numRef>
              <f>'04 — Eficiência de Tratamento'!$G$50:$G$51</f>
            </numRef>
          </val>
        </ser>
        <gapWidth val="7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mg/L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Carga poluidora de entrada e saída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C55A11"/>
            </a:solidFill>
            <a:ln xmlns:a="http://schemas.openxmlformats.org/drawingml/2006/main">
              <a:solidFill>
                <a:srgbClr val="C55A11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'04 — Eficiência de Tratamento'!$E$104:$E$105</f>
            </numRef>
          </cat>
          <val>
            <numRef>
              <f>'04 — Eficiência de Tratamento'!$G$104:$G$105</f>
            </numRef>
          </val>
        </ser>
        <gapWidth val="7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kg/dia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Concentração das correntes e da mistura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2E75B6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808C"/>
              </a:solidFill>
              <a:ln xmlns:a="http://schemas.openxmlformats.org/drawingml/2006/main">
                <a:solidFill>
                  <a:srgbClr val="00808C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solidFill>
                  <a:srgbClr val="2E7D32"/>
                </a:solidFill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'05 — Balanço de Massa'!$E$52:$E$54</f>
            </numRef>
          </cat>
          <val>
            <numRef>
              <f>'05 — Balanço de Massa'!$G$52:$G$54</f>
            </numRef>
          </val>
        </ser>
        <gapWidth val="7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mg/L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Carga de sólidos em cada corrente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C55A11"/>
            </a:solidFill>
            <a:ln xmlns:a="http://schemas.openxmlformats.org/drawingml/2006/main">
              <a:solidFill>
                <a:srgbClr val="C55A11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2E75B6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F6000"/>
              </a:solidFill>
              <a:ln xmlns:a="http://schemas.openxmlformats.org/drawingml/2006/main">
                <a:solidFill>
                  <a:srgbClr val="7F6000"/>
                </a:solidFill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'05 — Balanço de Massa'!$E$105:$E$107</f>
            </numRef>
          </cat>
          <val>
            <numRef>
              <f>'05 — Balanço de Massa'!$G$105:$G$107</f>
            </numRef>
          </val>
        </ser>
        <gapWidth val="7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kg/dia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Termos do balanço de massa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2E75B6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F6000"/>
              </a:solidFill>
              <a:ln xmlns:a="http://schemas.openxmlformats.org/drawingml/2006/main">
                <a:solidFill>
                  <a:srgbClr val="7F600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'05 — Balanço de Massa'!$E$158:$E$162</f>
            </numRef>
          </cat>
          <val>
            <numRef>
              <f>'05 — Balanço de Massa'!$G$158:$G$162</f>
            </numRef>
          </val>
        </ser>
        <gapWidth val="7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massa/tempo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Composição da solução final (mL)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00808C"/>
            </a:solidFill>
            <a:ln xmlns:a="http://schemas.openxmlformats.org/drawingml/2006/main">
              <a:solidFill>
                <a:srgbClr val="00808C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00808C"/>
              </a:solidFill>
              <a:ln xmlns:a="http://schemas.openxmlformats.org/drawingml/2006/main">
                <a:solidFill>
                  <a:srgbClr val="00808C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DC3E6"/>
              </a:solidFill>
              <a:ln xmlns:a="http://schemas.openxmlformats.org/drawingml/2006/main">
                <a:solidFill>
                  <a:srgbClr val="9DC3E6"/>
                </a:solidFill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'06 — Diluição de Soluções'!$E$55:$E$56</f>
            </numRef>
          </cat>
          <val>
            <numRef>
              <f>'06 — Diluição de Soluções'!$G$55:$G$56</f>
            </numRef>
          </val>
        </ser>
        <gapWidth val="7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Massa necessária por dia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B8860B"/>
            </a:solidFill>
            <a:ln xmlns:a="http://schemas.openxmlformats.org/drawingml/2006/main">
              <a:solidFill>
                <a:srgbClr val="B8860B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B8860B"/>
              </a:solidFill>
              <a:ln xmlns:a="http://schemas.openxmlformats.org/drawingml/2006/main">
                <a:solidFill>
                  <a:srgbClr val="B8860B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solidFill>
                  <a:srgbClr val="2E7D32"/>
                </a:solidFill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'07 — Dosagem Química'!$E$51:$E$52</f>
            </numRef>
          </cat>
          <val>
            <numRef>
              <f>'07 — Dosagem Química'!$G$51:$G$52</f>
            </numRef>
          </val>
        </ser>
        <gapWidth val="7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kg/dia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48</row>
      <rowOff>0</rowOff>
    </from>
    <ext cx="3311999" cy="237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102</row>
      <rowOff>0</rowOff>
    </from>
    <ext cx="3311999" cy="237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50</row>
      <rowOff>0</rowOff>
    </from>
    <ext cx="3311999" cy="237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103</row>
      <rowOff>0</rowOff>
    </from>
    <ext cx="3311999" cy="237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156</row>
      <rowOff>0</rowOff>
    </from>
    <ext cx="3311999" cy="237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53</row>
      <rowOff>0</rowOff>
    </from>
    <ext cx="3311999" cy="237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49</row>
      <rowOff>0</rowOff>
    </from>
    <ext cx="3311999" cy="237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G59"/>
  <sheetViews>
    <sheetView showGridLines="0" showRowColHeaders="0" zoomScale="10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" customWidth="1" min="3" max="3"/>
    <col width="34" customWidth="1" min="4" max="4"/>
    <col width="3" customWidth="1" min="5" max="5"/>
    <col width="34" customWidth="1" min="6" max="6"/>
    <col width="3" customWidth="1" min="7" max="7"/>
  </cols>
  <sheetData>
    <row r="1" ht="12" customHeight="1">
      <c r="A1" s="1" t="n"/>
      <c r="B1" s="1" t="n"/>
      <c r="C1" s="1" t="n"/>
      <c r="D1" s="1" t="n"/>
      <c r="E1" s="1" t="n"/>
      <c r="F1" s="1" t="n"/>
      <c r="G1" s="1" t="n"/>
    </row>
    <row r="2" ht="52" customHeight="1">
      <c r="A2" s="1" t="n"/>
      <c r="B2" s="2" t="inlineStr">
        <is>
          <t>KIT DE 6 CALCULADORAS AUTOMÁTICAS DE ENGENHARIA AMBIENTAL</t>
        </is>
      </c>
      <c r="C2" s="2" t="n"/>
      <c r="D2" s="2" t="n"/>
      <c r="E2" s="2" t="n"/>
      <c r="F2" s="2" t="n"/>
      <c r="G2" s="1" t="n"/>
    </row>
    <row r="3" ht="40" customHeight="1">
      <c r="A3" s="1" t="n"/>
      <c r="B3" s="3" t="inlineStr">
        <is>
          <t>Resolva, confira e entenda cálculos de hidráulica, carga poluidora, eficiência, balanço de massa, diluição e dosagem química. Tudo automático, com a fórmula explicada passo a passo.</t>
        </is>
      </c>
      <c r="C3" s="3" t="n"/>
      <c r="D3" s="3" t="n"/>
      <c r="E3" s="3" t="n"/>
      <c r="F3" s="3" t="n"/>
      <c r="G3" s="1" t="n"/>
    </row>
    <row r="4" ht="5" customHeight="1">
      <c r="A4" s="1" t="n"/>
      <c r="B4" s="4" t="n"/>
      <c r="C4" s="4" t="n"/>
      <c r="D4" s="4" t="n"/>
      <c r="E4" s="4" t="n"/>
      <c r="F4" s="4" t="n"/>
      <c r="G4" s="1" t="n"/>
    </row>
    <row r="5" ht="14" customHeight="1">
      <c r="A5" s="1" t="n"/>
      <c r="B5" s="1" t="n"/>
      <c r="C5" s="1" t="n"/>
      <c r="D5" s="1" t="n"/>
      <c r="E5" s="1" t="n"/>
      <c r="F5" s="1" t="n"/>
      <c r="G5" s="1" t="n"/>
    </row>
    <row r="6" ht="34" customHeight="1">
      <c r="A6" s="1" t="n"/>
      <c r="B6" s="5" t="inlineStr">
        <is>
          <t>📘  COMECE AQUI (GUIA)</t>
        </is>
      </c>
      <c r="C6" s="1" t="n"/>
      <c r="D6" s="5" t="inlineStr">
        <is>
          <t>📚  BIBLIOTECA DE EXEMPLOS</t>
        </is>
      </c>
      <c r="E6" s="1" t="n"/>
      <c r="F6" s="6" t="inlineStr">
        <is>
          <t>▶  COMO USAR EM 5 PASSOS</t>
        </is>
      </c>
      <c r="G6" s="1" t="n"/>
    </row>
    <row r="7" ht="16" customHeight="1">
      <c r="A7" s="1" t="n"/>
      <c r="B7" s="1" t="n"/>
      <c r="C7" s="1" t="n"/>
      <c r="D7" s="1" t="n"/>
      <c r="E7" s="1" t="n"/>
      <c r="F7" s="1" t="n"/>
      <c r="G7" s="1" t="n"/>
    </row>
    <row r="8" ht="26" customHeight="1">
      <c r="A8" s="1" t="n"/>
      <c r="B8" s="7" t="inlineStr">
        <is>
          <t>ESCOLHA SUA CALCULADORA</t>
        </is>
      </c>
      <c r="C8" s="8" t="n"/>
      <c r="D8" s="8" t="n"/>
      <c r="E8" s="8" t="n"/>
      <c r="F8" s="8" t="n"/>
      <c r="G8" s="1" t="n"/>
    </row>
    <row r="9" ht="30" customHeight="1">
      <c r="A9" s="1" t="n"/>
      <c r="B9" s="9" t="inlineStr">
        <is>
          <t>💧   CALCULADORA 01</t>
        </is>
      </c>
      <c r="C9" s="1" t="n"/>
      <c r="D9" s="10" t="inlineStr">
        <is>
          <t>🏭   CALCULADORA 02</t>
        </is>
      </c>
      <c r="E9" s="1" t="n"/>
      <c r="F9" s="11" t="inlineStr">
        <is>
          <t>📉   CALCULADORA 03</t>
        </is>
      </c>
      <c r="G9" s="1" t="n"/>
    </row>
    <row r="10" ht="36" customHeight="1">
      <c r="A10" s="1" t="n"/>
      <c r="B10" s="12" t="inlineStr">
        <is>
          <t>Vazão e Hidráulica</t>
        </is>
      </c>
      <c r="C10" s="1" t="n"/>
      <c r="D10" s="12" t="inlineStr">
        <is>
          <t>Carga Poluidora</t>
        </is>
      </c>
      <c r="E10" s="1" t="n"/>
      <c r="F10" s="12" t="inlineStr">
        <is>
          <t>Eficiência de Tratamento</t>
        </is>
      </c>
      <c r="G10" s="1" t="n"/>
    </row>
    <row r="11" ht="70" customHeight="1">
      <c r="A11" s="1" t="n"/>
      <c r="B11" s="13" t="inlineStr">
        <is>
          <t>Calcule vazão por volume e tempo, vazão em tubulações, velocidade do escoamento e tempo de detenção hidráulica, com conversão automática de unidades.</t>
        </is>
      </c>
      <c r="C11" s="1" t="n"/>
      <c r="D11" s="13" t="inlineStr">
        <is>
          <t>Descubra quantos kg por dia de DBO, DQO, SST, nitrogênio ou fósforo uma corrente transporta. Também calcula a concentração ou a vazão a partir da carga.</t>
        </is>
      </c>
      <c r="E11" s="1" t="n"/>
      <c r="F11" s="13" t="inlineStr">
        <is>
          <t>Avalie quanto um sistema de tratamento removeu, por concentração ou por carga, com gráfico de antes e depois e interpretação automática.</t>
        </is>
      </c>
      <c r="G11" s="1" t="n"/>
    </row>
    <row r="12" ht="30" customHeight="1">
      <c r="A12" s="1" t="n"/>
      <c r="B12" s="14" t="inlineStr">
        <is>
          <t>4 ferramentas · m³/s, L/s, m³/h, m³/dia  ·  aba 02</t>
        </is>
      </c>
      <c r="C12" s="1" t="n"/>
      <c r="D12" s="15" t="inlineStr">
        <is>
          <t>3 ferramentas · kg/dia, mg/L, m³/dia  ·  aba 03</t>
        </is>
      </c>
      <c r="E12" s="1" t="n"/>
      <c r="F12" s="16" t="inlineStr">
        <is>
          <t>2 ferramentas · % de remoção e gráficos  ·  aba 04</t>
        </is>
      </c>
      <c r="G12" s="1" t="n"/>
    </row>
    <row r="13" ht="28" customHeight="1">
      <c r="A13" s="1" t="n"/>
      <c r="B13" s="17" t="inlineStr">
        <is>
          <t>Abrir calculadora  ▶</t>
        </is>
      </c>
      <c r="C13" s="1" t="n"/>
      <c r="D13" s="17" t="inlineStr">
        <is>
          <t>Abrir calculadora  ▶</t>
        </is>
      </c>
      <c r="E13" s="1" t="n"/>
      <c r="F13" s="17" t="inlineStr">
        <is>
          <t>Abrir calculadora  ▶</t>
        </is>
      </c>
      <c r="G13" s="1" t="n"/>
    </row>
    <row r="14" ht="16" customHeight="1">
      <c r="A14" s="1" t="n"/>
      <c r="B14" s="1" t="n"/>
      <c r="C14" s="1" t="n"/>
      <c r="D14" s="1" t="n"/>
      <c r="E14" s="1" t="n"/>
      <c r="F14" s="1" t="n"/>
      <c r="G14" s="1" t="n"/>
    </row>
    <row r="15" ht="6" customHeight="1">
      <c r="A15" s="1" t="n"/>
      <c r="B15" s="1" t="n"/>
      <c r="C15" s="1" t="n"/>
      <c r="D15" s="1" t="n"/>
      <c r="E15" s="1" t="n"/>
      <c r="F15" s="1" t="n"/>
      <c r="G15" s="1" t="n"/>
    </row>
    <row r="16" ht="30" customHeight="1">
      <c r="A16" s="1" t="n"/>
      <c r="B16" s="18" t="inlineStr">
        <is>
          <t>⚖️   CALCULADORA 04</t>
        </is>
      </c>
      <c r="C16" s="1" t="n"/>
      <c r="D16" s="19" t="inlineStr">
        <is>
          <t>🧪   CALCULADORA 05</t>
        </is>
      </c>
      <c r="E16" s="1" t="n"/>
      <c r="F16" s="20" t="inlineStr">
        <is>
          <t>⚗️   CALCULADORA 06</t>
        </is>
      </c>
      <c r="G16" s="1" t="n"/>
    </row>
    <row r="17" ht="36" customHeight="1">
      <c r="A17" s="1" t="n"/>
      <c r="B17" s="12" t="inlineStr">
        <is>
          <t>Balanço de Massa</t>
        </is>
      </c>
      <c r="C17" s="1" t="n"/>
      <c r="D17" s="12" t="inlineStr">
        <is>
          <t>Diluição de Soluções</t>
        </is>
      </c>
      <c r="E17" s="1" t="n"/>
      <c r="F17" s="12" t="inlineStr">
        <is>
          <t>Dosagem de Produtos Químicos</t>
        </is>
      </c>
      <c r="G17" s="1" t="n"/>
    </row>
    <row r="18" ht="70" customHeight="1">
      <c r="A18" s="1" t="n"/>
      <c r="B18" s="13" t="inlineStr">
        <is>
          <t>Misture duas correntes, feche o balanço de um decantador e calcule o acúmulo de massa em um sistema, com cada etapa explicada.</t>
        </is>
      </c>
      <c r="C18" s="1" t="n"/>
      <c r="D18" s="13" t="inlineStr">
        <is>
          <t>Prepare soluções no laboratório com C₁V₁ = C₂V₂. Escolha o que quer descobrir e receba a instrução de preparo pronta.</t>
        </is>
      </c>
      <c r="E18" s="1" t="n"/>
      <c r="F18" s="13" t="inlineStr">
        <is>
          <t>Calcule a massa de componente ativo, a massa de produto comercial e o volume diário de produto líquido para uma dosagem definida.</t>
        </is>
      </c>
      <c r="G18" s="1" t="n"/>
    </row>
    <row r="19" ht="30" customHeight="1">
      <c r="A19" s="1" t="n"/>
      <c r="B19" s="21" t="inlineStr">
        <is>
          <t>3 ferramentas · mistura, decantador, acúmulo  ·  aba 05</t>
        </is>
      </c>
      <c r="C19" s="1" t="n"/>
      <c r="D19" s="22" t="inlineStr">
        <is>
          <t>1 fórmula · 4 incógnitas possíveis  ·  aba 06</t>
        </is>
      </c>
      <c r="E19" s="1" t="n"/>
      <c r="F19" s="23" t="inlineStr">
        <is>
          <t>3 etapas · kg/dia e L/dia  ·  aba 07</t>
        </is>
      </c>
      <c r="G19" s="1" t="n"/>
    </row>
    <row r="20" ht="28" customHeight="1">
      <c r="A20" s="1" t="n"/>
      <c r="B20" s="17" t="inlineStr">
        <is>
          <t>Abrir calculadora  ▶</t>
        </is>
      </c>
      <c r="C20" s="1" t="n"/>
      <c r="D20" s="17" t="inlineStr">
        <is>
          <t>Abrir calculadora  ▶</t>
        </is>
      </c>
      <c r="E20" s="1" t="n"/>
      <c r="F20" s="17" t="inlineStr">
        <is>
          <t>Abrir calculadora  ▶</t>
        </is>
      </c>
      <c r="G20" s="1" t="n"/>
    </row>
    <row r="21" ht="16" customHeight="1">
      <c r="A21" s="1" t="n"/>
      <c r="B21" s="1" t="n"/>
      <c r="C21" s="1" t="n"/>
      <c r="D21" s="1" t="n"/>
      <c r="E21" s="1" t="n"/>
      <c r="F21" s="1" t="n"/>
      <c r="G21" s="1" t="n"/>
    </row>
    <row r="22" ht="6" customHeight="1">
      <c r="A22" s="1" t="n"/>
      <c r="B22" s="1" t="n"/>
      <c r="C22" s="1" t="n"/>
      <c r="D22" s="1" t="n"/>
      <c r="E22" s="1" t="n"/>
      <c r="F22" s="1" t="n"/>
      <c r="G22" s="1" t="n"/>
    </row>
    <row r="23" ht="26" customHeight="1">
      <c r="A23" s="1" t="n"/>
      <c r="B23" s="24" t="inlineStr">
        <is>
          <t>COMO COMEÇAR</t>
        </is>
      </c>
      <c r="C23" s="24" t="n"/>
      <c r="D23" s="24" t="n"/>
      <c r="E23" s="1" t="n"/>
      <c r="F23" s="24" t="inlineStr">
        <is>
          <t>LEGENDA DAS CORES</t>
        </is>
      </c>
      <c r="G23" s="1" t="n"/>
    </row>
    <row r="24" ht="24" customHeight="1">
      <c r="A24" s="1" t="n"/>
      <c r="B24" s="25" t="inlineStr">
        <is>
          <t>1.  Escolha uma calculadora e clique em Abrir calculadora.</t>
        </is>
      </c>
      <c r="C24" s="25" t="n"/>
      <c r="D24" s="25" t="n"/>
      <c r="E24" s="1" t="n"/>
      <c r="F24" s="26" t="inlineStr">
        <is>
          <t>Amarelo-claro: campo para você digitar ou escolher</t>
        </is>
      </c>
      <c r="G24" s="1" t="n"/>
    </row>
    <row r="25" ht="24" customHeight="1">
      <c r="A25" s="1" t="n"/>
      <c r="B25" s="25" t="inlineStr">
        <is>
          <t>2.  Na lista Cenário, escolha Exemplo 01, Exemplo 02 ou Meu cálculo.</t>
        </is>
      </c>
      <c r="C25" s="25" t="n"/>
      <c r="D25" s="25" t="n"/>
      <c r="E25" s="1" t="n"/>
      <c r="F25" s="27" t="inlineStr">
        <is>
          <t>Verde: resultado automático e indicadores positivos</t>
        </is>
      </c>
      <c r="G25" s="1" t="n"/>
    </row>
    <row r="26" ht="24" customHeight="1">
      <c r="A26" s="1" t="n"/>
      <c r="B26" s="25" t="inlineStr">
        <is>
          <t>3.  Em Meu cálculo, preencha os campos amarelos da coluna MEU CÁLCULO.</t>
        </is>
      </c>
      <c r="C26" s="25" t="n"/>
      <c r="D26" s="25" t="n"/>
      <c r="E26" s="1" t="n"/>
      <c r="F26" s="28" t="inlineStr">
        <is>
          <t>Azul-claro: valor em uso, que entrou na conta</t>
        </is>
      </c>
      <c r="G26" s="1" t="n"/>
    </row>
    <row r="27" ht="24" customHeight="1">
      <c r="A27" s="1" t="n"/>
      <c r="B27" s="25" t="inlineStr">
        <is>
          <t>4.  Confira o resultado automático destacado em verde.</t>
        </is>
      </c>
      <c r="C27" s="25" t="n"/>
      <c r="D27" s="25" t="n"/>
      <c r="E27" s="1" t="n"/>
      <c r="F27" s="29" t="inlineStr">
        <is>
          <t>Azul: botão de navegação (clique)</t>
        </is>
      </c>
      <c r="G27" s="1" t="n"/>
    </row>
    <row r="28" ht="24" customHeight="1">
      <c r="A28" s="1" t="n"/>
      <c r="B28" s="25" t="inlineStr">
        <is>
          <t>5.  Leia a explicação em Entenda o cálculo e verifique as unidades.</t>
        </is>
      </c>
      <c r="C28" s="25" t="n"/>
      <c r="D28" s="25" t="n"/>
      <c r="E28" s="1" t="n"/>
      <c r="F28" s="30" t="inlineStr">
        <is>
          <t>Cinza-claro: explicações e exemplos cadastrados</t>
        </is>
      </c>
      <c r="G28" s="1" t="n"/>
    </row>
    <row r="29" ht="24" customHeight="1">
      <c r="A29" s="1" t="n"/>
      <c r="B29" s="31" t="inlineStr">
        <is>
          <t>Dúvidas? Abra o guia completo na aba 01: Comece Aqui.</t>
        </is>
      </c>
      <c r="C29" s="31" t="n"/>
      <c r="D29" s="31" t="n"/>
      <c r="E29" s="1" t="n"/>
      <c r="F29" s="32" t="inlineStr">
        <is>
          <t>Vermelho suave: avisos e dados inválidos</t>
        </is>
      </c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 ht="40" customHeight="1">
      <c r="A31" s="1" t="n"/>
      <c r="B31" s="33" t="inlineStr">
        <is>
          <t>Importante: os resultados são cálculos teóricos de apoio ao estudo. Projetos, laudos e decisões operacionais exigem normas técnicas, legislação aplicável e responsável técnico. Guarde uma cópia original deste arquivo e salve cada trabalho com outro nome.</t>
        </is>
      </c>
      <c r="C31" s="33" t="n"/>
      <c r="D31" s="33" t="n"/>
      <c r="E31" s="33" t="n"/>
      <c r="F31" s="33" t="n"/>
      <c r="G31" s="1" t="n"/>
    </row>
    <row r="32" ht="20" customHeight="1">
      <c r="A32" s="1" t="n"/>
      <c r="B32" s="34" t="inlineStr">
        <is>
          <t>Sem macros · Sem internet · Excel e Google Planilhas · Abas protegidas sem senha contra alterações acidentais</t>
        </is>
      </c>
      <c r="C32" s="35" t="n"/>
      <c r="D32" s="35" t="n"/>
      <c r="E32" s="35" t="n"/>
      <c r="F32" s="35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3">
    <mergeCell ref="B4:F4"/>
    <mergeCell ref="B28:D28"/>
    <mergeCell ref="B2:F2"/>
    <mergeCell ref="B23:D23"/>
    <mergeCell ref="B32:F32"/>
    <mergeCell ref="B3:F3"/>
    <mergeCell ref="B26:D26"/>
    <mergeCell ref="B27:D27"/>
    <mergeCell ref="B31:F31"/>
    <mergeCell ref="B8:F8"/>
    <mergeCell ref="B29:D29"/>
    <mergeCell ref="B25:D25"/>
    <mergeCell ref="B24:D24"/>
  </mergeCells>
  <hyperlinks>
    <hyperlink ref="B6" location="'01 — Comece Aqui'!A1" tooltip="Ir para 01 — Comece Aqui" display="📘  COMECE AQUI (GUIA)"/>
    <hyperlink ref="D6" location="'08 — Exemplos Resolvidos'!A1" tooltip="Ir para 08 — Exemplos Resolvidos" display="📚  BIBLIOTECA DE EXEMPLOS"/>
    <hyperlink ref="F6" location="'01 — Comece Aqui'!B12" tooltip="Ir para 01 — Comece Aqui" display="▶  COMO USAR EM 5 PASSOS"/>
    <hyperlink ref="B13" location="'02 — Vazão e Hidráulica'!A1" tooltip="Ir para 02 — Vazão e Hidráulica" display="Abrir calculadora  ▶"/>
    <hyperlink ref="D13" location="'03 — Carga Poluidora'!A1" tooltip="Ir para 03 — Carga Poluidora" display="Abrir calculadora  ▶"/>
    <hyperlink ref="F13" location="'04 — Eficiência de Tratamento'!A1" tooltip="Ir para 04 — Eficiência de Tratamento" display="Abrir calculadora  ▶"/>
    <hyperlink ref="B20" location="'05 — Balanço de Massa'!A1" tooltip="Ir para 05 — Balanço de Massa" display="Abrir calculadora  ▶"/>
    <hyperlink ref="D20" location="'06 — Diluição de Soluções'!A1" tooltip="Ir para 06 — Diluição de Soluções" display="Abrir calculadora  ▶"/>
    <hyperlink ref="F20" location="'07 — Dosagem Química'!A1" tooltip="Ir para 07 — Dosagem Química" display="Abrir calculadora  ▶"/>
    <hyperlink ref="B29" location="'01 — Comece Aqui'!A1" tooltip="Ir para 01 — Comece Aqui" display="Dúvidas? Abra o guia completo na aba 01: Comece Aqui."/>
  </hyperlink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B1:D122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30" customWidth="1" min="3" max="3"/>
    <col width="52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 ht="40" customHeight="1">
      <c r="B1" s="36" t="inlineStr">
        <is>
          <t>📘  COMECE AQUI: GUIA COMPLETO</t>
        </is>
      </c>
      <c r="C1" s="36" t="n"/>
      <c r="D1" s="36" t="n"/>
    </row>
    <row r="2" ht="18" customHeight="1">
      <c r="B2" s="37" t="inlineStr">
        <is>
          <t>Leia esta página uma vez e você saberá usar todo o kit.</t>
        </is>
      </c>
      <c r="C2" s="37" t="n"/>
      <c r="D2" s="37" t="n"/>
    </row>
    <row r="3" ht="26" customHeight="1">
      <c r="B3" s="38" t="inlineStr">
        <is>
          <t>🏠  Painel Inicial</t>
        </is>
      </c>
      <c r="C3" s="38" t="inlineStr">
        <is>
          <t>📚  Exemplos Resolvidos</t>
        </is>
      </c>
      <c r="D3" s="39" t="inlineStr">
        <is>
          <t>Primeira calculadora ▶</t>
        </is>
      </c>
    </row>
    <row r="5" ht="12" customHeight="1"/>
    <row r="6" ht="26" customHeight="1">
      <c r="B6" s="24" t="inlineStr">
        <is>
          <t>1   O QUE É O KIT</t>
        </is>
      </c>
      <c r="C6" s="24" t="n"/>
      <c r="D6" s="24" t="n"/>
    </row>
    <row r="7" ht="60" customHeight="1">
      <c r="B7" s="25" t="inlineStr">
        <is>
          <t>Este kit reúne 6 calculadoras automáticas para os cálculos mais comuns da Engenharia Ambiental: vazão e hidráulica, carga poluidora, eficiência de tratamento, balanço de massa, diluição de soluções e dosagem de produtos químicos. Você informa os dados, a planilha calcula na hora e mostra a fórmula usada, a substituição dos valores e uma explicação do resultado. Funciona como um pequeno aplicativo dentro da planilha, sem macros e sem internet.</t>
        </is>
      </c>
      <c r="C7" s="25" t="n"/>
      <c r="D7" s="25" t="n"/>
    </row>
    <row r="8" ht="12" customHeight="1"/>
    <row r="9" ht="26" customHeight="1">
      <c r="B9" s="24" t="inlineStr">
        <is>
          <t>2   PARA QUEM FOI DESENVOLVIDO</t>
        </is>
      </c>
      <c r="C9" s="24" t="n"/>
      <c r="D9" s="24" t="n"/>
    </row>
    <row r="10" ht="47" customHeight="1">
      <c r="B10" s="25" t="inlineStr">
        <is>
          <t>Para estudantes de Engenharia Ambiental e de cursos próximos (Sanitária, Civil, Química, Gestão Ambiental) que precisam resolver listas de exercícios, conferir contas de provas e trabalhos, preparar relatórios de laboratório ou apoiar atividades de estágio. Você não precisa saber Excel: basta escolher opções nas listas e digitar números nos campos amarelos.</t>
        </is>
      </c>
      <c r="C10" s="25" t="n"/>
      <c r="D10" s="25" t="n"/>
    </row>
    <row r="11" ht="12" customHeight="1"/>
    <row r="12" ht="26" customHeight="1">
      <c r="B12" s="24" t="inlineStr">
        <is>
          <t>3   COMO USAR EM 5 PASSOS</t>
        </is>
      </c>
      <c r="C12" s="24" t="n"/>
      <c r="D12" s="24" t="n"/>
    </row>
    <row r="13" ht="49" customHeight="1">
      <c r="B13" s="40" t="inlineStr">
        <is>
          <t>PASSO 1</t>
        </is>
      </c>
      <c r="C13" s="41" t="inlineStr">
        <is>
          <r>
            <rPr>
              <rFont val="Arial"/>
              <b val="1"/>
              <color rgb="001E5631"/>
              <sz val="11"/>
            </rPr>
            <t xml:space="preserve">Escolha uma calculadora.
</t>
          </r>
          <r>
            <rPr>
              <rFont val="Arial"/>
              <color rgb="00262626"/>
              <sz val="10"/>
            </rPr>
            <t>No Painel Inicial, clique no card da calculadora que resolve o seu problema. Na dúvida, use a tabela Qual calculadora usar, logo abaixo.</t>
          </r>
        </is>
      </c>
      <c r="D13" s="41" t="n"/>
    </row>
    <row r="14" ht="49" customHeight="1">
      <c r="B14" s="40" t="inlineStr">
        <is>
          <t>PASSO 2</t>
        </is>
      </c>
      <c r="C14" s="41" t="inlineStr">
        <is>
          <r>
            <rPr>
              <rFont val="Arial"/>
              <b val="1"/>
              <color rgb="001E5631"/>
              <sz val="11"/>
            </rPr>
            <t xml:space="preserve">Selecione um exemplo ou a opção "Meu cálculo".
</t>
          </r>
          <r>
            <rPr>
              <rFont val="Arial"/>
              <color rgb="00262626"/>
              <sz val="10"/>
            </rPr>
            <t>Cada ferramenta tem a lista Cenário. Exemplo 01 e Exemplo 02 carregam dados prontos. Meu cálculo usa os valores que você digitar.</t>
          </r>
        </is>
      </c>
      <c r="D14" s="41" t="n"/>
    </row>
    <row r="15" ht="49" customHeight="1">
      <c r="B15" s="40" t="inlineStr">
        <is>
          <t>PASSO 3</t>
        </is>
      </c>
      <c r="C15" s="41" t="inlineStr">
        <is>
          <r>
            <rPr>
              <rFont val="Arial"/>
              <b val="1"/>
              <color rgb="001E5631"/>
              <sz val="11"/>
            </rPr>
            <t xml:space="preserve">Preencha os campos amarelos.
</t>
          </r>
          <r>
            <rPr>
              <rFont val="Arial"/>
              <color rgb="00262626"/>
              <sz val="10"/>
            </rPr>
            <t>Digite seus valores na coluna MEU CÁLCULO e escolha as unidades nas listas. A coluna Valor em uso mostra exatamente o que está entrando na conta.</t>
          </r>
        </is>
      </c>
      <c r="D15" s="41" t="n"/>
    </row>
    <row r="16" ht="49" customHeight="1">
      <c r="B16" s="40" t="inlineStr">
        <is>
          <t>PASSO 4</t>
        </is>
      </c>
      <c r="C16" s="41" t="inlineStr">
        <is>
          <r>
            <rPr>
              <rFont val="Arial"/>
              <b val="1"/>
              <color rgb="001E5631"/>
              <sz val="11"/>
            </rPr>
            <t xml:space="preserve">Confira o resultado automático destacado em verde.
</t>
          </r>
          <r>
            <rPr>
              <rFont val="Arial"/>
              <color rgb="00262626"/>
              <sz val="10"/>
            </rPr>
            <t>O card verde mostra o resultado principal, outras unidades, uma interpretação e o status dos dados. Se faltar algo, aparece uma mensagem em vermelho dizendo o que corrigir.</t>
          </r>
        </is>
      </c>
      <c r="D16" s="41" t="n"/>
    </row>
    <row r="17" ht="49" customHeight="1">
      <c r="B17" s="40" t="inlineStr">
        <is>
          <t>PASSO 5</t>
        </is>
      </c>
      <c r="C17" s="41" t="inlineStr">
        <is>
          <r>
            <rPr>
              <rFont val="Arial"/>
              <b val="1"/>
              <color rgb="001E5631"/>
              <sz val="11"/>
            </rPr>
            <t xml:space="preserve">Leia a explicação e verifique as unidades utilizadas.
</t>
          </r>
          <r>
            <rPr>
              <rFont val="Arial"/>
              <color rgb="00262626"/>
              <sz val="10"/>
            </rPr>
            <t>Em Entenda o cálculo você vê a fórmula, os valores usados e a conta montada. Confira se as unidades fazem sentido para o seu exercício.</t>
          </r>
        </is>
      </c>
      <c r="D17" s="41" t="n"/>
    </row>
    <row r="18" ht="12" customHeight="1"/>
    <row r="19" ht="26" customHeight="1">
      <c r="B19" s="24" t="inlineStr">
        <is>
          <t>4   QUAIS CÁLCULOS ESTÃO DISPONÍVEIS</t>
        </is>
      </c>
      <c r="C19" s="24" t="n"/>
      <c r="D19" s="24" t="n"/>
    </row>
    <row r="20" ht="22" customHeight="1">
      <c r="B20" s="42" t="inlineStr">
        <is>
          <t>Calculadora (clique para abrir)</t>
        </is>
      </c>
      <c r="C20" s="42" t="inlineStr">
        <is>
          <t>Onde fica</t>
        </is>
      </c>
      <c r="D20" s="42" t="inlineStr">
        <is>
          <t>O que ela resolve</t>
        </is>
      </c>
    </row>
    <row r="21" ht="47" customHeight="1">
      <c r="B21" s="43" t="inlineStr">
        <is>
          <t>💧 01 · Vazão e Hidráulica</t>
        </is>
      </c>
      <c r="C21" s="25" t="inlineStr">
        <is>
          <t>Aba 02 — Vazão e Hidráulica</t>
        </is>
      </c>
      <c r="D21" s="25" t="inlineStr">
        <is>
          <t>Vazão a partir de volume e tempo; Vazão em tubulações; Velocidade do escoamento; Tempo de detenção hidráulica (TDH)</t>
        </is>
      </c>
    </row>
    <row r="22" ht="34" customHeight="1">
      <c r="B22" s="44" t="inlineStr">
        <is>
          <t>🏭 02 · Carga Poluidora</t>
        </is>
      </c>
      <c r="C22" s="45" t="inlineStr">
        <is>
          <t>Aba 03 — Carga Poluidora</t>
        </is>
      </c>
      <c r="D22" s="45" t="inlineStr">
        <is>
          <t>Calcular carga poluidora; Descobrir a concentração; Descobrir a vazão</t>
        </is>
      </c>
    </row>
    <row r="23" ht="34" customHeight="1">
      <c r="B23" s="43" t="inlineStr">
        <is>
          <t>📉 03 · Eficiência</t>
        </is>
      </c>
      <c r="C23" s="25" t="inlineStr">
        <is>
          <t>Aba 04 — Eficiência de Tratamento</t>
        </is>
      </c>
      <c r="D23" s="25" t="inlineStr">
        <is>
          <t>Eficiência por concentração; Eficiência por carga</t>
        </is>
      </c>
    </row>
    <row r="24" ht="34" customHeight="1">
      <c r="B24" s="44" t="inlineStr">
        <is>
          <t>⚖️ 04 · Balanço de Massa</t>
        </is>
      </c>
      <c r="C24" s="45" t="inlineStr">
        <is>
          <t>Aba 05 — Balanço de Massa</t>
        </is>
      </c>
      <c r="D24" s="45" t="inlineStr">
        <is>
          <t>Mistura de duas correntes; Balanço de massa em decantadores; Acúmulo de massa</t>
        </is>
      </c>
    </row>
    <row r="25" ht="34" customHeight="1">
      <c r="B25" s="43" t="inlineStr">
        <is>
          <t>🧪 05 · Diluição</t>
        </is>
      </c>
      <c r="C25" s="25" t="inlineStr">
        <is>
          <t>Aba 06 — Diluição de Soluções</t>
        </is>
      </c>
      <c r="D25" s="25" t="inlineStr">
        <is>
          <t>Volume de estoque, concentração final, volume final ou concentração do estoque</t>
        </is>
      </c>
    </row>
    <row r="26" ht="34" customHeight="1">
      <c r="B26" s="44" t="inlineStr">
        <is>
          <t>⚗️ 06 · Dosagem Química</t>
        </is>
      </c>
      <c r="C26" s="45" t="inlineStr">
        <is>
          <t>Aba 07 — Dosagem Química</t>
        </is>
      </c>
      <c r="D26" s="45" t="inlineStr">
        <is>
          <t>Massa de ativo; massa de produto comercial; volume de produto líquido</t>
        </is>
      </c>
    </row>
    <row r="27" ht="12" customHeight="1"/>
    <row r="28" ht="26" customHeight="1">
      <c r="B28" s="24" t="inlineStr">
        <is>
          <t>5   COMO ESCOLHER A CALCULADORA CERTA</t>
        </is>
      </c>
      <c r="C28" s="24" t="n"/>
      <c r="D28" s="24" t="n"/>
    </row>
    <row r="29" ht="22" customHeight="1">
      <c r="B29" s="42" t="inlineStr">
        <is>
          <t>Preciso calcular</t>
        </is>
      </c>
      <c r="C29" s="42" t="inlineStr">
        <is>
          <t>Qual calculadora utilizar</t>
        </is>
      </c>
      <c r="D29" s="42" t="inlineStr">
        <is>
          <t>Exemplo de aplicação</t>
        </is>
      </c>
    </row>
    <row r="30" ht="34" customHeight="1">
      <c r="B30" s="46" t="inlineStr">
        <is>
          <t>Descobrir a vazão de uma tubulação</t>
        </is>
      </c>
      <c r="C30" s="43" t="inlineStr">
        <is>
          <t>02 · Vazão e Hidráulica (Ferramenta 2)</t>
        </is>
      </c>
      <c r="D30" s="25" t="inlineStr">
        <is>
          <t>Tubo de 0,30 m com água a 1,5 m/s.</t>
        </is>
      </c>
    </row>
    <row r="31" ht="34" customHeight="1">
      <c r="B31" s="47" t="inlineStr">
        <is>
          <t>Descobrir a vazão a partir de volume e tempo</t>
        </is>
      </c>
      <c r="C31" s="44" t="inlineStr">
        <is>
          <t>02 · Vazão e Hidráulica (Ferramenta 1)</t>
        </is>
      </c>
      <c r="D31" s="45" t="inlineStr">
        <is>
          <t>Tanque de 360 m³ que enche em 2 horas.</t>
        </is>
      </c>
    </row>
    <row r="32" ht="34" customHeight="1">
      <c r="B32" s="46" t="inlineStr">
        <is>
          <t>Verificar a velocidade da água em um tubo</t>
        </is>
      </c>
      <c r="C32" s="43" t="inlineStr">
        <is>
          <t>02 · Vazão e Hidráulica (Ferramenta 3)</t>
        </is>
      </c>
      <c r="D32" s="25" t="inlineStr">
        <is>
          <t>0,05 m³/s passando em tubo de 0,20 m.</t>
        </is>
      </c>
    </row>
    <row r="33" ht="34" customHeight="1">
      <c r="B33" s="47" t="inlineStr">
        <is>
          <t>Calcular o tempo de detenção de um tanque</t>
        </is>
      </c>
      <c r="C33" s="44" t="inlineStr">
        <is>
          <t>02 · Vazão e Hidráulica (Ferramenta 4)</t>
        </is>
      </c>
      <c r="D33" s="45" t="inlineStr">
        <is>
          <t>Tanque de 500 m³ recebendo 50 m³/h.</t>
        </is>
      </c>
    </row>
    <row r="34" ht="34" customHeight="1">
      <c r="B34" s="46" t="inlineStr">
        <is>
          <t>Calcular a carga de DBO de um efluente</t>
        </is>
      </c>
      <c r="C34" s="43" t="inlineStr">
        <is>
          <t>03 · Carga Poluidora (Ferramenta 1)</t>
        </is>
      </c>
      <c r="D34" s="25" t="inlineStr">
        <is>
          <t>400 m³/dia com 180 mg/L de DBO.</t>
        </is>
      </c>
    </row>
    <row r="35" ht="34" customHeight="1">
      <c r="B35" s="47" t="inlineStr">
        <is>
          <t>Descobrir a concentração a partir da carga</t>
        </is>
      </c>
      <c r="C35" s="44" t="inlineStr">
        <is>
          <t>03 · Carga Poluidora (Ferramenta 2)</t>
        </is>
      </c>
      <c r="D35" s="45" t="inlineStr">
        <is>
          <t>24 kg/dia de DBO em 400 m³/dia.</t>
        </is>
      </c>
    </row>
    <row r="36" ht="34" customHeight="1">
      <c r="B36" s="46" t="inlineStr">
        <is>
          <t>Avaliar a eficiência de uma ETE</t>
        </is>
      </c>
      <c r="C36" s="43" t="inlineStr">
        <is>
          <t>04 · Eficiência de Tratamento</t>
        </is>
      </c>
      <c r="D36" s="25" t="inlineStr">
        <is>
          <t>DBO de 250 mg/L na entrada e 50 mg/L na saída.</t>
        </is>
      </c>
    </row>
    <row r="37" ht="34" customHeight="1">
      <c r="B37" s="47" t="inlineStr">
        <is>
          <t>Calcular a concentração após misturar dois efluentes</t>
        </is>
      </c>
      <c r="C37" s="44" t="inlineStr">
        <is>
          <t>05 · Balanço de Massa (Ferramenta 1)</t>
        </is>
      </c>
      <c r="D37" s="45" t="inlineStr">
        <is>
          <t>120 m³/dia a 200 mg/L + 80 m³/dia a 50 mg/L.</t>
        </is>
      </c>
    </row>
    <row r="38" ht="34" customHeight="1">
      <c r="B38" s="46" t="inlineStr">
        <is>
          <t>Calcular a concentração do lodo de um decantador</t>
        </is>
      </c>
      <c r="C38" s="43" t="inlineStr">
        <is>
          <t>05 · Balanço de Massa (Ferramenta 2)</t>
        </is>
      </c>
      <c r="D38" s="25" t="inlineStr">
        <is>
          <t>Entrada, clarificado e lodo de um decantador primário.</t>
        </is>
      </c>
    </row>
    <row r="39" ht="34" customHeight="1">
      <c r="B39" s="47" t="inlineStr">
        <is>
          <t>Saber se a massa está acumulando em um sistema</t>
        </is>
      </c>
      <c r="C39" s="44" t="inlineStr">
        <is>
          <t>05 · Balanço de Massa (Ferramenta 3)</t>
        </is>
      </c>
      <c r="D39" s="45" t="inlineStr">
        <is>
          <t>Tanque que recebe mais sólidos do que descarta.</t>
        </is>
      </c>
    </row>
    <row r="40" ht="21" customHeight="1">
      <c r="B40" s="46" t="inlineStr">
        <is>
          <t>Preparar uma solução diluída</t>
        </is>
      </c>
      <c r="C40" s="43" t="inlineStr">
        <is>
          <t>06 · Diluição de Soluções</t>
        </is>
      </c>
      <c r="D40" s="25" t="inlineStr">
        <is>
          <t>500 mL a 200 mg/L a partir de um padrão de 1.000 mg/L.</t>
        </is>
      </c>
    </row>
    <row r="41" ht="34" customHeight="1">
      <c r="B41" s="47" t="inlineStr">
        <is>
          <t>Calcular a quantidade diária de um produto químico</t>
        </is>
      </c>
      <c r="C41" s="44" t="inlineStr">
        <is>
          <t>07 · Dosagem Química</t>
        </is>
      </c>
      <c r="D41" s="45" t="inlineStr">
        <is>
          <t>4 mg/L de ativo em 500 m³/dia com produto a 50%.</t>
        </is>
      </c>
    </row>
    <row r="42" ht="12" customHeight="1"/>
    <row r="43" ht="26" customHeight="1">
      <c r="B43" s="24" t="inlineStr">
        <is>
          <t>6   COMO INFORMAR OS DADOS</t>
        </is>
      </c>
      <c r="C43" s="24" t="n"/>
      <c r="D43" s="24" t="n"/>
    </row>
    <row r="44" ht="34" customHeight="1">
      <c r="B44" s="25" t="inlineStr">
        <is>
          <t>• Digite somente nos campos amarelos da coluna MEU CÁLCULO. As outras células estão protegidas para evitar que uma fórmula seja apagada sem querer.</t>
        </is>
      </c>
      <c r="C44" s="25" t="n"/>
      <c r="D44" s="25" t="n"/>
    </row>
    <row r="45" ht="34" customHeight="1">
      <c r="B45" s="25" t="inlineStr">
        <is>
          <t>• Use vírgula para decimais (0,5), como no padrão brasileiro. Não digite a unidade junto do número: escreva 500, e não 500 m³.</t>
        </is>
      </c>
      <c r="C45" s="25" t="n"/>
      <c r="D45" s="25" t="n"/>
    </row>
    <row r="46" ht="21" customHeight="1">
      <c r="B46" s="25" t="inlineStr">
        <is>
          <t>• Ao clicar em um campo amarelo aparece uma dica com o que deve ser digitado.</t>
        </is>
      </c>
      <c r="C46" s="25" t="n"/>
      <c r="D46" s="25" t="n"/>
    </row>
    <row r="47" ht="21" customHeight="1">
      <c r="B47" s="25" t="inlineStr">
        <is>
          <t>• Se você digitar algo inválido (texto ou número negativo), a planilha avisa e não aceita.</t>
        </is>
      </c>
      <c r="C47" s="25" t="n"/>
      <c r="D47" s="25" t="n"/>
    </row>
    <row r="48" ht="21" customHeight="1">
      <c r="B48" s="25" t="inlineStr">
        <is>
          <t>• Seus dados ficam guardados quando você troca para um exemplo. Ao voltar para Meu cálculo, eles continuam lá.</t>
        </is>
      </c>
      <c r="C48" s="25" t="n"/>
      <c r="D48" s="25" t="n"/>
    </row>
    <row r="49" ht="12" customHeight="1"/>
    <row r="50" ht="26" customHeight="1">
      <c r="B50" s="24" t="inlineStr">
        <is>
          <t>7   COMO ESCOLHER AS UNIDADES</t>
        </is>
      </c>
      <c r="C50" s="24" t="n"/>
      <c r="D50" s="24" t="n"/>
    </row>
    <row r="51" ht="47" customHeight="1">
      <c r="B51" s="25" t="inlineStr">
        <is>
          <t>Algumas ferramentas têm uma linha Unidade de ... com lista. Escolha a unidade em que o seu dado está e a calculadora converte tudo sozinha. Nas linhas sem lista, use exatamente a unidade indicada na coluna Unidade (por exemplo, m³/dia e mg/L). A tabela abaixo ajuda nas conversões feitas à mão.</t>
        </is>
      </c>
      <c r="C51" s="25" t="n"/>
      <c r="D51" s="25" t="n"/>
    </row>
    <row r="52" ht="22" customHeight="1">
      <c r="B52" s="42" t="inlineStr">
        <is>
          <t>Grandeza</t>
        </is>
      </c>
      <c r="C52" s="42" t="inlineStr">
        <is>
          <t>Relação</t>
        </is>
      </c>
      <c r="D52" s="42" t="inlineStr">
        <is>
          <t>Observação</t>
        </is>
      </c>
    </row>
    <row r="53" ht="21" customHeight="1">
      <c r="B53" s="46" t="inlineStr">
        <is>
          <t>Vazão</t>
        </is>
      </c>
      <c r="C53" s="25" t="inlineStr">
        <is>
          <t>1 L/s = 3,6 m³/h = 86,4 m³/dia</t>
        </is>
      </c>
      <c r="D53" s="25" t="inlineStr">
        <is>
          <t>1 m³/s = 1.000 L/s</t>
        </is>
      </c>
    </row>
    <row r="54" ht="21" customHeight="1">
      <c r="B54" s="47" t="inlineStr">
        <is>
          <t>Volume</t>
        </is>
      </c>
      <c r="C54" s="45" t="inlineStr">
        <is>
          <t>1 m³ = 1.000 L</t>
        </is>
      </c>
      <c r="D54" s="45" t="inlineStr">
        <is>
          <t>1 L = 1.000 mL</t>
        </is>
      </c>
    </row>
    <row r="55" ht="21" customHeight="1">
      <c r="B55" s="46" t="inlineStr">
        <is>
          <t>Tempo</t>
        </is>
      </c>
      <c r="C55" s="25" t="inlineStr">
        <is>
          <t>1 h = 60 min = 3.600 s</t>
        </is>
      </c>
      <c r="D55" s="25" t="inlineStr">
        <is>
          <t>1 dia = 24 h = 86.400 s</t>
        </is>
      </c>
    </row>
    <row r="56" ht="21" customHeight="1">
      <c r="B56" s="47" t="inlineStr">
        <is>
          <t>Comprimento</t>
        </is>
      </c>
      <c r="C56" s="45" t="inlineStr">
        <is>
          <t>1 m = 100 cm = 1.000 mm</t>
        </is>
      </c>
      <c r="D56" s="45" t="inlineStr">
        <is>
          <t>1 polegada = 2,54 cm</t>
        </is>
      </c>
    </row>
    <row r="57" ht="21" customHeight="1">
      <c r="B57" s="46" t="inlineStr">
        <is>
          <t>Concentração</t>
        </is>
      </c>
      <c r="C57" s="25" t="inlineStr">
        <is>
          <t>1 mg/L = 1 g/m³</t>
        </is>
      </c>
      <c r="D57" s="25" t="inlineStr">
        <is>
          <t>Em água diluída, 1 mg/L é aproximadamente 1 ppm</t>
        </is>
      </c>
    </row>
    <row r="58" ht="21" customHeight="1">
      <c r="B58" s="47" t="inlineStr">
        <is>
          <t>Carga</t>
        </is>
      </c>
      <c r="C58" s="45" t="inlineStr">
        <is>
          <t>kg/dia = m³/dia × mg/L × 0,001</t>
        </is>
      </c>
      <c r="D58" s="45" t="inlineStr">
        <is>
          <t>1 kg = 1.000 g</t>
        </is>
      </c>
    </row>
    <row r="59" ht="21" customHeight="1">
      <c r="B59" s="46" t="inlineStr">
        <is>
          <t>Porcentagem</t>
        </is>
      </c>
      <c r="C59" s="25" t="inlineStr">
        <is>
          <t>50% = 0,50</t>
        </is>
      </c>
      <c r="D59" s="25" t="inlineStr">
        <is>
          <t>Divida por 100 antes de usar na fórmula</t>
        </is>
      </c>
    </row>
    <row r="60" ht="34" customHeight="1">
      <c r="B60" s="47" t="inlineStr">
        <is>
          <t>Densidade</t>
        </is>
      </c>
      <c r="C60" s="45" t="inlineStr">
        <is>
          <t>kg/L</t>
        </is>
      </c>
      <c r="D60" s="45" t="inlineStr">
        <is>
          <t>Água ≈ 1 kg/L. Produtos químicos variam: consulte a ficha técnica</t>
        </is>
      </c>
    </row>
    <row r="61" ht="12" customHeight="1"/>
    <row r="62" ht="26" customHeight="1">
      <c r="B62" s="24" t="inlineStr">
        <is>
          <t>8   COMO UTILIZAR OS EXEMPLOS PRONTOS</t>
        </is>
      </c>
      <c r="C62" s="24" t="n"/>
      <c r="D62" s="24" t="n"/>
    </row>
    <row r="63" ht="60" customHeight="1">
      <c r="B63" s="25" t="inlineStr">
        <is>
          <t>Cada ferramenta tem dois exemplos cadastrados (colunas Exemplo 01 e Exemplo 02). Ao escolher um deles na lista Cenário, a calculadora usa esses dados nas mesmas fórmulas do Meu cálculo. Use os exemplos para aprender o caminho da conta e depois troque para Meu cálculo para testar seus valores. A aba 08: Exemplos Resolvidos mostra todos os exemplos explicados passo a passo, com um botão que leva para a calculadora.</t>
        </is>
      </c>
      <c r="C63" s="25" t="n"/>
      <c r="D63" s="25" t="n"/>
    </row>
    <row r="64" ht="12" customHeight="1"/>
    <row r="65" ht="26" customHeight="1">
      <c r="B65" s="24" t="inlineStr">
        <is>
          <t>9   COMO INTERPRETAR OS RESULTADOS</t>
        </is>
      </c>
      <c r="C65" s="24" t="n"/>
      <c r="D65" s="24" t="n"/>
    </row>
    <row r="66" ht="47" customHeight="1">
      <c r="B66" s="25" t="inlineStr">
        <is>
          <t>O card verde traz o nome do resultado, o valor em destaque e a unidade; outros resultados e unidades; uma interpretação em linguagem simples; e o status dos dados. Com ✔ o cálculo está completo. Com ⚠, leia a mensagem: ela diz qual campo falta ou está incorreto. Nesse caso o resultado fica com um traço (—), porque a calculadora não inventa valores.</t>
        </is>
      </c>
      <c r="C66" s="25" t="n"/>
      <c r="D66" s="25" t="n"/>
    </row>
    <row r="67" ht="34" customHeight="1">
      <c r="B67" s="25" t="inlineStr">
        <is>
          <t>Resultados negativos aparecem quando fazem sentido. Uma eficiência negativa indica que o parâmetro aumentou; um acúmulo negativo indica que a massa no sistema está diminuindo. A interpretação explica cada caso.</t>
        </is>
      </c>
      <c r="C67" s="25" t="n"/>
      <c r="D67" s="25" t="n"/>
    </row>
    <row r="68" ht="12" customHeight="1"/>
    <row r="69" ht="26" customHeight="1">
      <c r="B69" s="24" t="inlineStr">
        <is>
          <t>10   COMO CONFERIR AS FÓRMULAS</t>
        </is>
      </c>
      <c r="C69" s="24" t="n"/>
      <c r="D69" s="24" t="n"/>
    </row>
    <row r="70" ht="34" customHeight="1">
      <c r="B70" s="25" t="inlineStr">
        <is>
          <t>• A área E · Entenda o cálculo mostra a fórmula, cada variável, os valores usados e a substituição numérica. Tudo se atualiza quando você muda um dado.</t>
        </is>
      </c>
      <c r="C70" s="25" t="n"/>
      <c r="D70" s="25" t="n"/>
    </row>
    <row r="71" ht="21" customHeight="1">
      <c r="B71" s="25" t="inlineStr">
        <is>
          <t>• Clique em qualquer resultado e veja a fórmula na barra de fórmulas.</t>
        </is>
      </c>
      <c r="C71" s="25" t="n"/>
      <c r="D71" s="25" t="n"/>
    </row>
    <row r="72" ht="34" customHeight="1">
      <c r="B72" s="25" t="inlineStr">
        <is>
          <t>• As conversões de unidade e as validações ficam na ÁREA TÉCNICA, à direita de cada calculadora (colunas K e L). Basta rolar a tela para a direita.</t>
        </is>
      </c>
      <c r="C72" s="25" t="n"/>
      <c r="D72" s="25" t="n"/>
    </row>
    <row r="73" ht="21" customHeight="1">
      <c r="B73" s="25" t="inlineStr">
        <is>
          <t>• Os exemplos resolvidos podem ser refeitos à mão ou na calculadora do celular para conferir.</t>
        </is>
      </c>
      <c r="C73" s="25" t="n"/>
      <c r="D73" s="25" t="n"/>
    </row>
    <row r="74" ht="12" customHeight="1"/>
    <row r="75" ht="26" customHeight="1">
      <c r="B75" s="24" t="inlineStr">
        <is>
          <t>11   O SIGNIFICADO DAS CORES</t>
        </is>
      </c>
      <c r="C75" s="24" t="n"/>
      <c r="D75" s="24" t="n"/>
    </row>
    <row r="76" ht="22" customHeight="1">
      <c r="B76" s="42" t="inlineStr">
        <is>
          <t>Cor</t>
        </is>
      </c>
      <c r="C76" s="42" t="inlineStr">
        <is>
          <t>Significado</t>
        </is>
      </c>
      <c r="D76" s="42" t="inlineStr">
        <is>
          <t>Onde aparece</t>
        </is>
      </c>
    </row>
    <row r="77" ht="34" customHeight="1">
      <c r="B77" s="48" t="inlineStr">
        <is>
          <t>Amarelo-claro</t>
        </is>
      </c>
      <c r="C77" s="25" t="inlineStr">
        <is>
          <t>Campo editável: digite ou escolha aqui</t>
        </is>
      </c>
      <c r="D77" s="25" t="inlineStr">
        <is>
          <t>Coluna MEU CÁLCULO e listas de escolha</t>
        </is>
      </c>
    </row>
    <row r="78" ht="34" customHeight="1">
      <c r="B78" s="49" t="inlineStr">
        <is>
          <t>Verde</t>
        </is>
      </c>
      <c r="C78" s="45" t="inlineStr">
        <is>
          <t>Resultado automático e indicadores positivos</t>
        </is>
      </c>
      <c r="D78" s="45" t="inlineStr">
        <is>
          <t>Card de resultado e status ✔</t>
        </is>
      </c>
    </row>
    <row r="79" ht="34" customHeight="1">
      <c r="B79" s="50" t="inlineStr">
        <is>
          <t>Azul-claro</t>
        </is>
      </c>
      <c r="C79" s="25" t="inlineStr">
        <is>
          <t>Valor em uso, que entrou na conta</t>
        </is>
      </c>
      <c r="D79" s="25" t="inlineStr">
        <is>
          <t>Coluna Valor em uso</t>
        </is>
      </c>
    </row>
    <row r="80" ht="21" customHeight="1">
      <c r="B80" s="51" t="inlineStr">
        <is>
          <t>Azul</t>
        </is>
      </c>
      <c r="C80" s="45" t="inlineStr">
        <is>
          <t>Botões de navegação</t>
        </is>
      </c>
      <c r="D80" s="45" t="inlineStr">
        <is>
          <t>Topo das abas e botões dos cards</t>
        </is>
      </c>
    </row>
    <row r="81" ht="21" customHeight="1">
      <c r="B81" s="52" t="inlineStr">
        <is>
          <t>Azul-marinho</t>
        </is>
      </c>
      <c r="C81" s="25" t="inlineStr">
        <is>
          <t>Títulos e cabeçalhos</t>
        </is>
      </c>
      <c r="D81" s="25" t="inlineStr">
        <is>
          <t>Faixas de título</t>
        </is>
      </c>
    </row>
    <row r="82" ht="34" customHeight="1">
      <c r="B82" s="53" t="inlineStr">
        <is>
          <t>Cinza-claro</t>
        </is>
      </c>
      <c r="C82" s="45" t="inlineStr">
        <is>
          <t>Explicações, exemplos cadastrados e apoio</t>
        </is>
      </c>
      <c r="D82" s="45" t="inlineStr">
        <is>
          <t>Colunas Exemplo 01 e 02 e textos</t>
        </is>
      </c>
    </row>
    <row r="83" ht="34" customHeight="1">
      <c r="B83" s="54" t="inlineStr">
        <is>
          <t>Vermelho suave</t>
        </is>
      </c>
      <c r="C83" s="25" t="inlineStr">
        <is>
          <t>Avisos, erros comuns e dados inválidos</t>
        </is>
      </c>
      <c r="D83" s="25" t="inlineStr">
        <is>
          <t>Status ⚠ e linha Erro comum</t>
        </is>
      </c>
    </row>
    <row r="84" ht="12" customHeight="1"/>
    <row r="85" ht="26" customHeight="1">
      <c r="B85" s="24" t="inlineStr">
        <is>
          <t>12   CUIDADOS ANTES DE UTILIZAR UM RESULTADO</t>
        </is>
      </c>
      <c r="C85" s="24" t="n"/>
      <c r="D85" s="24" t="n"/>
    </row>
    <row r="86" ht="21" customHeight="1">
      <c r="B86" s="55" t="inlineStr">
        <is>
          <t>• Confira se as unidades dos seus dados são as mesmas pedidas na calculadora.</t>
        </is>
      </c>
      <c r="C86" s="55" t="n"/>
      <c r="D86" s="55" t="n"/>
    </row>
    <row r="87" ht="21" customHeight="1">
      <c r="B87" s="55" t="inlineStr">
        <is>
          <t>• Verifique as hipóteses de cada fórmula (por exemplo, mistura completa e sem reação no balanço de massa).</t>
        </is>
      </c>
      <c r="C87" s="55" t="n"/>
      <c r="D87" s="55" t="n"/>
    </row>
    <row r="88" ht="34" customHeight="1">
      <c r="B88" s="55" t="inlineStr">
        <is>
          <t>• Os resultados são cálculos teóricos de apoio ao estudo. Projetos, laudos e decisões operacionais exigem normas técnicas, legislação aplicável e responsável técnico habilitado.</t>
        </is>
      </c>
      <c r="C88" s="55" t="n"/>
      <c r="D88" s="55" t="n"/>
    </row>
    <row r="89" ht="34" customHeight="1">
      <c r="B89" s="55" t="inlineStr">
        <is>
          <t>• A calculadora não diz se um valor atende a uma norma ou padrão de lançamento. Compare com o padrão aplicável ao seu caso.</t>
        </is>
      </c>
      <c r="C89" s="55" t="n"/>
      <c r="D89" s="55" t="n"/>
    </row>
    <row r="90" ht="21" customHeight="1">
      <c r="B90" s="55" t="inlineStr">
        <is>
          <t>• Arredonde o resultado final de acordo com o que o exercício ou o professor pedir.</t>
        </is>
      </c>
      <c r="C90" s="55" t="n"/>
      <c r="D90" s="55" t="n"/>
    </row>
    <row r="91" ht="21" customHeight="1">
      <c r="B91" s="55" t="inlineStr">
        <is>
          <t>• Na dosagem química, considere ficha técnica, compatibilidade e segurança do produto.</t>
        </is>
      </c>
      <c r="C91" s="55" t="n"/>
      <c r="D91" s="55" t="n"/>
    </row>
    <row r="92" ht="12" customHeight="1"/>
    <row r="93" ht="26" customHeight="1">
      <c r="B93" s="24" t="inlineStr">
        <is>
          <t>13   GLOSSÁRIO DE SÍMBOLOS E UNIDADES</t>
        </is>
      </c>
      <c r="C93" s="24" t="n"/>
      <c r="D93" s="24" t="n"/>
    </row>
    <row r="94" ht="22" customHeight="1">
      <c r="B94" s="42" t="inlineStr">
        <is>
          <t>Símbolo</t>
        </is>
      </c>
      <c r="C94" s="42" t="inlineStr">
        <is>
          <t>Significado</t>
        </is>
      </c>
      <c r="D94" s="42" t="inlineStr">
        <is>
          <t>Unidade usual</t>
        </is>
      </c>
    </row>
    <row r="95" ht="21" customHeight="1">
      <c r="B95" s="46" t="inlineStr">
        <is>
          <t>Q</t>
        </is>
      </c>
      <c r="C95" s="25" t="inlineStr">
        <is>
          <t>Vazão</t>
        </is>
      </c>
      <c r="D95" s="25" t="inlineStr">
        <is>
          <t>m³/s, L/s, m³/h, m³/dia</t>
        </is>
      </c>
    </row>
    <row r="96" ht="21" customHeight="1">
      <c r="B96" s="47" t="inlineStr">
        <is>
          <t>V</t>
        </is>
      </c>
      <c r="C96" s="45" t="inlineStr">
        <is>
          <t>Volume</t>
        </is>
      </c>
      <c r="D96" s="45" t="inlineStr">
        <is>
          <t>m³, L, mL</t>
        </is>
      </c>
    </row>
    <row r="97" ht="21" customHeight="1">
      <c r="B97" s="46" t="inlineStr">
        <is>
          <t>t</t>
        </is>
      </c>
      <c r="C97" s="25" t="inlineStr">
        <is>
          <t>Tempo</t>
        </is>
      </c>
      <c r="D97" s="25" t="inlineStr">
        <is>
          <t>s, min, h, dia</t>
        </is>
      </c>
    </row>
    <row r="98" ht="34" customHeight="1">
      <c r="B98" s="47" t="inlineStr">
        <is>
          <t>D</t>
        </is>
      </c>
      <c r="C98" s="45" t="inlineStr">
        <is>
          <t>Diâmetro interno (na calculadora 07, D é a dosagem)</t>
        </is>
      </c>
      <c r="D98" s="45" t="inlineStr">
        <is>
          <t>m, mm  |  mg/L</t>
        </is>
      </c>
    </row>
    <row r="99" ht="21" customHeight="1">
      <c r="B99" s="46" t="inlineStr">
        <is>
          <t>A</t>
        </is>
      </c>
      <c r="C99" s="25" t="inlineStr">
        <is>
          <t>Área da seção do tubo</t>
        </is>
      </c>
      <c r="D99" s="25" t="inlineStr">
        <is>
          <t>m²</t>
        </is>
      </c>
    </row>
    <row r="100" ht="21" customHeight="1">
      <c r="B100" s="47" t="inlineStr">
        <is>
          <t>v</t>
        </is>
      </c>
      <c r="C100" s="45" t="inlineStr">
        <is>
          <t>Velocidade média do escoamento</t>
        </is>
      </c>
      <c r="D100" s="45" t="inlineStr">
        <is>
          <t>m/s</t>
        </is>
      </c>
    </row>
    <row r="101" ht="21" customHeight="1">
      <c r="B101" s="46" t="inlineStr">
        <is>
          <t>TDH</t>
        </is>
      </c>
      <c r="C101" s="25" t="inlineStr">
        <is>
          <t>Tempo de detenção hidráulica</t>
        </is>
      </c>
      <c r="D101" s="25" t="inlineStr">
        <is>
          <t>h, min</t>
        </is>
      </c>
    </row>
    <row r="102" ht="21" customHeight="1">
      <c r="B102" s="47" t="inlineStr">
        <is>
          <t>C</t>
        </is>
      </c>
      <c r="C102" s="45" t="inlineStr">
        <is>
          <t>Concentração</t>
        </is>
      </c>
      <c r="D102" s="45" t="inlineStr">
        <is>
          <t>mg/L</t>
        </is>
      </c>
    </row>
    <row r="103" ht="21" customHeight="1">
      <c r="B103" s="46" t="inlineStr">
        <is>
          <t>DBO</t>
        </is>
      </c>
      <c r="C103" s="25" t="inlineStr">
        <is>
          <t>Demanda bioquímica de oxigênio</t>
        </is>
      </c>
      <c r="D103" s="25" t="inlineStr">
        <is>
          <t>mg/L</t>
        </is>
      </c>
    </row>
    <row r="104" ht="21" customHeight="1">
      <c r="B104" s="47" t="inlineStr">
        <is>
          <t>DQO</t>
        </is>
      </c>
      <c r="C104" s="45" t="inlineStr">
        <is>
          <t>Demanda química de oxigênio</t>
        </is>
      </c>
      <c r="D104" s="45" t="inlineStr">
        <is>
          <t>mg/L</t>
        </is>
      </c>
    </row>
    <row r="105" ht="21" customHeight="1">
      <c r="B105" s="46" t="inlineStr">
        <is>
          <t>SST</t>
        </is>
      </c>
      <c r="C105" s="25" t="inlineStr">
        <is>
          <t>Sólidos suspensos totais</t>
        </is>
      </c>
      <c r="D105" s="25" t="inlineStr">
        <is>
          <t>mg/L</t>
        </is>
      </c>
    </row>
    <row r="106" ht="21" customHeight="1">
      <c r="B106" s="47" t="inlineStr">
        <is>
          <t>N, P</t>
        </is>
      </c>
      <c r="C106" s="45" t="inlineStr">
        <is>
          <t>Nitrogênio e fósforo</t>
        </is>
      </c>
      <c r="D106" s="45" t="inlineStr">
        <is>
          <t>mg/L</t>
        </is>
      </c>
    </row>
    <row r="107" ht="21" customHeight="1">
      <c r="B107" s="46" t="inlineStr">
        <is>
          <t>Carga</t>
        </is>
      </c>
      <c r="C107" s="25" t="inlineStr">
        <is>
          <t>Massa de poluente por tempo</t>
        </is>
      </c>
      <c r="D107" s="25" t="inlineStr">
        <is>
          <t>kg/dia</t>
        </is>
      </c>
    </row>
    <row r="108" ht="21" customHeight="1">
      <c r="B108" s="47" t="inlineStr">
        <is>
          <t>E</t>
        </is>
      </c>
      <c r="C108" s="45" t="inlineStr">
        <is>
          <t>Eficiência de remoção</t>
        </is>
      </c>
      <c r="D108" s="45" t="inlineStr">
        <is>
          <t>%</t>
        </is>
      </c>
    </row>
    <row r="109" ht="34" customHeight="1">
      <c r="B109" s="46" t="inlineStr">
        <is>
          <t>Qe, Qa, Ql</t>
        </is>
      </c>
      <c r="C109" s="25" t="inlineStr">
        <is>
          <t>Vazões de entrada, clarificado e lodo</t>
        </is>
      </c>
      <c r="D109" s="25" t="inlineStr">
        <is>
          <t>m³/dia</t>
        </is>
      </c>
    </row>
    <row r="110" ht="34" customHeight="1">
      <c r="B110" s="47" t="inlineStr">
        <is>
          <t>C₁, V₁</t>
        </is>
      </c>
      <c r="C110" s="45" t="inlineStr">
        <is>
          <t>Concentração e volume da solução estoque</t>
        </is>
      </c>
      <c r="D110" s="45" t="inlineStr">
        <is>
          <t>mg/L, mL</t>
        </is>
      </c>
    </row>
    <row r="111" ht="34" customHeight="1">
      <c r="B111" s="46" t="inlineStr">
        <is>
          <t>C₂, V₂</t>
        </is>
      </c>
      <c r="C111" s="25" t="inlineStr">
        <is>
          <t>Concentração e volume da solução final</t>
        </is>
      </c>
      <c r="D111" s="25" t="inlineStr">
        <is>
          <t>mg/L, mL</t>
        </is>
      </c>
    </row>
    <row r="112" ht="21" customHeight="1">
      <c r="B112" s="47" t="inlineStr">
        <is>
          <t>ρ</t>
        </is>
      </c>
      <c r="C112" s="45" t="inlineStr">
        <is>
          <t>Densidade do produto</t>
        </is>
      </c>
      <c r="D112" s="45" t="inlineStr">
        <is>
          <t>kg/L</t>
        </is>
      </c>
    </row>
    <row r="113" ht="34" customHeight="1">
      <c r="B113" s="46" t="inlineStr">
        <is>
          <t>ETE / ETA</t>
        </is>
      </c>
      <c r="C113" s="25" t="inlineStr">
        <is>
          <t>Estação de tratamento de esgoto / de água</t>
        </is>
      </c>
      <c r="D113" s="25" t="inlineStr">
        <is>
          <t>-</t>
        </is>
      </c>
    </row>
    <row r="114" ht="12" customHeight="1"/>
    <row r="115" ht="26" customHeight="1">
      <c r="B115" s="24" t="inlineStr">
        <is>
          <t>14   PROTEÇÃO, CÓPIAS E COMPATIBILIDADE</t>
        </is>
      </c>
      <c r="C115" s="24" t="n"/>
      <c r="D115" s="24" t="n"/>
    </row>
    <row r="116" ht="34" customHeight="1">
      <c r="B116" s="25" t="inlineStr">
        <is>
          <t>• Mantenha uma cópia original deste arquivo sem alterações. Para cada trabalho, salve uma cópia com outro nome (exemplo: Lista3_Hidraulica).</t>
        </is>
      </c>
      <c r="C116" s="25" t="n"/>
      <c r="D116" s="25" t="n"/>
    </row>
    <row r="117" ht="34" customHeight="1">
      <c r="B117" s="25" t="inlineStr">
        <is>
          <t>• No Excel, as abas estão protegidas sem senha, só para evitar alterações acidentais. Para editar, use Revisão &gt; Desproteger Planilha (não pede senha).</t>
        </is>
      </c>
      <c r="C117" s="25" t="n"/>
      <c r="D117" s="25" t="n"/>
    </row>
    <row r="118" ht="47" customHeight="1">
      <c r="B118" s="25" t="inlineStr">
        <is>
          <t>• Google Planilhas: envie o arquivo .xlsx para o Google Drive, clique com o botão direito &gt; Abrir com &gt; Planilhas Google. Depois use Arquivo &gt; Salvar como Planilhas Google. Os cálculos, listas, cores e gráficos funcionam. Se um botão de navegação não abrir a aba, use as abas na parte de baixo da tela.</t>
        </is>
      </c>
      <c r="C118" s="25" t="n"/>
      <c r="D118" s="25" t="n"/>
    </row>
    <row r="119" ht="34" customHeight="1">
      <c r="B119" s="25" t="inlineStr">
        <is>
          <t>• No Google Planilhas, quem é dono do arquivo consegue editar qualquer célula. Para se proteger de apagar uma fórmula sem querer, use Dados &gt; Proteger páginas e intervalos &gt; Mostrar um aviso ao editar.</t>
        </is>
      </c>
      <c r="C119" s="25" t="n"/>
      <c r="D119" s="25" t="n"/>
    </row>
    <row r="120" ht="34" customHeight="1">
      <c r="B120" s="25" t="inlineStr">
        <is>
          <t>• O arquivo não usa macros nem internet. LibreOffice Calc também abre e calcula; a aparência dos gráficos pode variar um pouco.</t>
        </is>
      </c>
      <c r="C120" s="25" t="n"/>
      <c r="D120" s="25" t="n"/>
    </row>
    <row r="121" ht="12" customHeight="1"/>
    <row r="122" ht="30" customHeight="1">
      <c r="B122" s="6" t="inlineStr">
        <is>
          <t>Tudo pronto?  Voltar ao Painel Inicial e escolher uma calculadora  ▶</t>
        </is>
      </c>
      <c r="C122" s="6" t="n"/>
      <c r="D122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8">
    <mergeCell ref="B120:D120"/>
    <mergeCell ref="B67:D67"/>
    <mergeCell ref="C15:D15"/>
    <mergeCell ref="B48:D48"/>
    <mergeCell ref="B1:D1"/>
    <mergeCell ref="B117:D117"/>
    <mergeCell ref="B73:D73"/>
    <mergeCell ref="C14:D14"/>
    <mergeCell ref="B88:D88"/>
    <mergeCell ref="B119:D119"/>
    <mergeCell ref="B44:D44"/>
    <mergeCell ref="B116:D116"/>
    <mergeCell ref="B69:D69"/>
    <mergeCell ref="B87:D87"/>
    <mergeCell ref="B10:D10"/>
    <mergeCell ref="B28:D28"/>
    <mergeCell ref="B19:D19"/>
    <mergeCell ref="C16:D16"/>
    <mergeCell ref="B118:D118"/>
    <mergeCell ref="B9:D9"/>
    <mergeCell ref="B65:D65"/>
    <mergeCell ref="B6:D6"/>
    <mergeCell ref="B51:D51"/>
    <mergeCell ref="B89:D89"/>
    <mergeCell ref="B45:D45"/>
    <mergeCell ref="B63:D63"/>
    <mergeCell ref="B85:D85"/>
    <mergeCell ref="B50:D50"/>
    <mergeCell ref="B62:D62"/>
    <mergeCell ref="B75:D75"/>
    <mergeCell ref="B7:D7"/>
    <mergeCell ref="C17:D17"/>
    <mergeCell ref="B91:D91"/>
    <mergeCell ref="B47:D47"/>
    <mergeCell ref="B86:D86"/>
    <mergeCell ref="B72:D72"/>
    <mergeCell ref="B90:D90"/>
    <mergeCell ref="B66:D66"/>
    <mergeCell ref="B46:D46"/>
    <mergeCell ref="B122:D122"/>
    <mergeCell ref="B71:D71"/>
    <mergeCell ref="B115:D115"/>
    <mergeCell ref="B93:D93"/>
    <mergeCell ref="B70:D70"/>
    <mergeCell ref="C13:D13"/>
    <mergeCell ref="B43:D43"/>
    <mergeCell ref="B12:D12"/>
    <mergeCell ref="B2:D2"/>
  </mergeCells>
  <hyperlinks>
    <hyperlink ref="B3" location="'00 — Painel Inicial'!A1" tooltip="Ir para 00 — Painel Inicial" display="🏠  Painel Inicial"/>
    <hyperlink ref="C3" location="'08 — Exemplos Resolvidos'!A1" tooltip="Ir para 08 — Exemplos Resolvidos" display="📚  Exemplos Resolvidos"/>
    <hyperlink ref="D3" location="'02 — Vazão e Hidráulica'!A1" tooltip="Ir para 02 — Vazão e Hidráulica" display="Primeira calculadora ▶"/>
    <hyperlink ref="B21" location="'02 — Vazão e Hidráulica'!A1" tooltip="Ir para 02 — Vazão e Hidráulica" display="💧 01 · Vazão e Hidráulica"/>
    <hyperlink ref="B22" location="'03 — Carga Poluidora'!A1" tooltip="Ir para 03 — Carga Poluidora" display="🏭 02 · Carga Poluidora"/>
    <hyperlink ref="B23" location="'04 — Eficiência de Tratamento'!A1" tooltip="Ir para 04 — Eficiência de Tratamento" display="📉 03 · Eficiência"/>
    <hyperlink ref="B24" location="'05 — Balanço de Massa'!A1" tooltip="Ir para 05 — Balanço de Massa" display="⚖️ 04 · Balanço de Massa"/>
    <hyperlink ref="B25" location="'06 — Diluição de Soluções'!A1" tooltip="Ir para 06 — Diluição de Soluções" display="🧪 05 · Diluição"/>
    <hyperlink ref="B26" location="'07 — Dosagem Química'!A1" tooltip="Ir para 07 — Dosagem Química" display="⚗️ 06 · Dosagem Química"/>
    <hyperlink ref="C30" location="'02 — Vazão e Hidráulica'!A1" tooltip="Ir para 02 — Vazão e Hidráulica" display="02 · Vazão e Hidráulica (Ferramenta 2)"/>
    <hyperlink ref="C31" location="'02 — Vazão e Hidráulica'!A1" tooltip="Ir para 02 — Vazão e Hidráulica" display="02 · Vazão e Hidráulica (Ferramenta 1)"/>
    <hyperlink ref="C32" location="'02 — Vazão e Hidráulica'!A1" tooltip="Ir para 02 — Vazão e Hidráulica" display="02 · Vazão e Hidráulica (Ferramenta 3)"/>
    <hyperlink ref="C33" location="'02 — Vazão e Hidráulica'!A1" tooltip="Ir para 02 — Vazão e Hidráulica" display="02 · Vazão e Hidráulica (Ferramenta 4)"/>
    <hyperlink ref="C34" location="'03 — Carga Poluidora'!A1" tooltip="Ir para 03 — Carga Poluidora" display="03 · Carga Poluidora (Ferramenta 1)"/>
    <hyperlink ref="C35" location="'03 — Carga Poluidora'!A1" tooltip="Ir para 03 — Carga Poluidora" display="03 · Carga Poluidora (Ferramenta 2)"/>
    <hyperlink ref="C36" location="'04 — Eficiência de Tratamento'!A1" tooltip="Ir para 04 — Eficiência de Tratamento" display="04 · Eficiência de Tratamento"/>
    <hyperlink ref="C37" location="'05 — Balanço de Massa'!A1" tooltip="Ir para 05 — Balanço de Massa" display="05 · Balanço de Massa (Ferramenta 1)"/>
    <hyperlink ref="C38" location="'05 — Balanço de Massa'!A1" tooltip="Ir para 05 — Balanço de Massa" display="05 · Balanço de Massa (Ferramenta 2)"/>
    <hyperlink ref="C39" location="'05 — Balanço de Massa'!A1" tooltip="Ir para 05 — Balanço de Massa" display="05 · Balanço de Massa (Ferramenta 3)"/>
    <hyperlink ref="C40" location="'06 — Diluição de Soluções'!A1" tooltip="Ir para 06 — Diluição de Soluções" display="06 · Diluição de Soluções"/>
    <hyperlink ref="C41" location="'07 — Dosagem Química'!A1" tooltip="Ir para 07 — Dosagem Química" display="07 · Dosagem Química"/>
    <hyperlink ref="B122" location="'00 — Painel Inicial'!A1" tooltip="Ir para 00 — Painel Inicial" display="Tudo pronto?  Voltar ao Painel Inicial e escolher uma calculadora  ▶"/>
  </hyperlinks>
  <pageMargins left="0.4" right="0.4" top="0.5" bottom="0.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L165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4" customWidth="1" min="5" max="5"/>
    <col width="10" customWidth="1" min="6" max="6"/>
    <col width="13" customWidth="1" min="7" max="7"/>
    <col width="36" customWidth="1" min="8" max="8"/>
    <col width="2" customWidth="1" min="9" max="9"/>
    <col width="4" customWidth="1" min="10" max="10"/>
    <col width="34" customWidth="1" min="11" max="11"/>
    <col width="18" customWidth="1" min="12" max="12"/>
  </cols>
  <sheetData>
    <row r="1" ht="40" customHeight="1">
      <c r="A1" s="56" t="n"/>
      <c r="B1" s="36" t="inlineStr">
        <is>
          <t>💧  CALCULADORA 01  ·  VAZÃO E HIDRÁULICA</t>
        </is>
      </c>
      <c r="C1" s="36" t="n"/>
      <c r="D1" s="36" t="n"/>
      <c r="E1" s="36" t="n"/>
      <c r="F1" s="36" t="n"/>
      <c r="G1" s="36" t="n"/>
      <c r="H1" s="36" t="n"/>
      <c r="I1" s="56" t="n"/>
      <c r="K1" s="57" t="inlineStr">
        <is>
          <t>ÁREA TÉCNICA · cálculos auxiliares (não editar)</t>
        </is>
      </c>
      <c r="L1" s="57" t="n"/>
    </row>
    <row r="2" ht="18" customHeight="1">
      <c r="A2" s="56" t="n"/>
      <c r="B2" s="37" t="inlineStr">
        <is>
          <t>KIT DE 6 CALCULADORAS AUTOMÁTICAS DE ENGENHARIA AMBIENTAL</t>
        </is>
      </c>
      <c r="C2" s="37" t="n"/>
      <c r="D2" s="37" t="n"/>
      <c r="E2" s="37" t="n"/>
      <c r="F2" s="37" t="n"/>
      <c r="G2" s="37" t="n"/>
      <c r="H2" s="37" t="n"/>
      <c r="I2" s="56" t="n"/>
      <c r="K2" s="58" t="inlineStr">
        <is>
          <t>Descrição</t>
        </is>
      </c>
      <c r="L2" s="59" t="inlineStr">
        <is>
          <t>Valor</t>
        </is>
      </c>
    </row>
    <row r="3" ht="26" customHeight="1">
      <c r="B3" s="38" t="inlineStr">
        <is>
          <t>🏠  Painel</t>
        </is>
      </c>
      <c r="C3" s="38" t="inlineStr">
        <is>
          <t>📘  Guia</t>
        </is>
      </c>
      <c r="D3" s="38" t="n"/>
      <c r="E3" s="38" t="inlineStr">
        <is>
          <t>📚  Exemplos</t>
        </is>
      </c>
      <c r="F3" s="38" t="n"/>
      <c r="G3" s="60" t="inlineStr">
        <is>
          <t>◀ Anterior</t>
        </is>
      </c>
      <c r="H3" s="60" t="inlineStr">
        <is>
          <t>Próxima aba ▶</t>
        </is>
      </c>
      <c r="K3" s="61" t="inlineStr">
        <is>
          <t>ferramenta escolhida (número)</t>
        </is>
      </c>
      <c r="L3" s="61">
        <f>IFERROR(MATCH($C$18,{"Ferramenta 1: Vazão por volume e tempo","Ferramenta 2: Vazão em tubulações","Ferramenta 3: Velocidade do escoamento","Ferramenta 4: Tempo de detenção (TDH)"},0),0)</f>
        <v>1</v>
      </c>
    </row>
    <row r="4" ht="10" customHeight="1">
      <c r="K4" s="61" t="inlineStr">
        <is>
          <t>índice do cenário (1, 2 ou 3)</t>
        </is>
      </c>
      <c r="L4" s="61">
        <f>IFERROR(MATCH($C$26,{"Exemplo 01","Exemplo 02","Meu cálculo"},0),0)</f>
        <v>1</v>
      </c>
    </row>
    <row r="5" ht="32" customHeight="1">
      <c r="B5" s="62" t="inlineStr">
        <is>
          <t>COMO USAR:   ① Escolha a ferramenta abaixo   ② Escolha o cenário na lista amarela   ③ Para usar seus dados, escolha Meu cálculo e digite na coluna amarela   ④ Veja o resultado no card verde   ⑤ Confira a conta em ENTENDA O CÁLCULO</t>
        </is>
      </c>
      <c r="C5" s="62" t="n"/>
      <c r="D5" s="62" t="n"/>
      <c r="E5" s="62" t="n"/>
      <c r="F5" s="62" t="n"/>
      <c r="G5" s="62" t="n"/>
      <c r="H5" s="62" t="n"/>
      <c r="K5" s="61" t="inlineStr">
        <is>
          <t>[Vazão por volume e tempo] fV</t>
        </is>
      </c>
      <c r="L5" s="61">
        <f>IFERROR(CHOOSE(MATCH($G$31,{"m³","L"},0),1,0.001),"")</f>
        <v>1</v>
      </c>
    </row>
    <row r="6" ht="8" customHeight="1">
      <c r="K6" s="61" t="inlineStr">
        <is>
          <t>[Vazão por volume e tempo] ft</t>
        </is>
      </c>
      <c r="L6" s="61">
        <f>IFERROR(CHOOSE(MATCH($G$33,{"s","min","h","dia"},0),1,60,3600,86400),"")</f>
        <v>3600</v>
      </c>
    </row>
    <row r="7" ht="24" customHeight="1">
      <c r="B7" s="63" t="inlineStr">
        <is>
          <t>A · IDENTIFICAÇÃO</t>
        </is>
      </c>
      <c r="C7" s="63" t="n"/>
      <c r="D7" s="63" t="n"/>
      <c r="E7" s="63" t="n"/>
      <c r="F7" s="63" t="n"/>
      <c r="G7" s="63" t="n"/>
      <c r="H7" s="63" t="n"/>
      <c r="K7" s="61" t="inlineStr">
        <is>
          <t>[Vazão por volume e tempo] Vm</t>
        </is>
      </c>
      <c r="L7" s="61">
        <f>IFERROR($G$30*$L$5,"")</f>
        <v>360</v>
      </c>
    </row>
    <row r="8" ht="32" customHeight="1">
      <c r="B8" s="64" t="inlineStr">
        <is>
          <t>O que calcula</t>
        </is>
      </c>
      <c r="C8" s="25" t="inlineStr">
        <is>
          <t>Vazão (volume por tempo), área da seção de tubos, velocidade do escoamento e tempo de detenção hidráulica (TDH).</t>
        </is>
      </c>
      <c r="D8" s="25" t="n"/>
      <c r="E8" s="25" t="n"/>
      <c r="F8" s="25" t="n"/>
      <c r="G8" s="25" t="n"/>
      <c r="H8" s="25" t="n"/>
      <c r="K8" s="61" t="inlineStr">
        <is>
          <t>[Vazão por volume e tempo] ts</t>
        </is>
      </c>
      <c r="L8" s="61">
        <f>IFERROR($G$32*$L$6,"")</f>
        <v>7200</v>
      </c>
    </row>
    <row r="9" ht="32" customHeight="1">
      <c r="B9" s="64" t="inlineStr">
        <is>
          <t>Quando usar</t>
        </is>
      </c>
      <c r="C9" s="25" t="inlineStr">
        <is>
          <t>Conferência de tubulações, bombas, tanques, reservatórios, lagoas e unidades de tratamento. Útil em Hidráulica, Saneamento e Tratamento de Água e Esgoto.</t>
        </is>
      </c>
      <c r="D9" s="25" t="n"/>
      <c r="E9" s="25" t="n"/>
      <c r="F9" s="25" t="n"/>
      <c r="G9" s="25" t="n"/>
      <c r="H9" s="25" t="n"/>
      <c r="K9" s="61" t="inlineStr">
        <is>
          <t>[Vazão por volume e tempo] Qs</t>
        </is>
      </c>
      <c r="L9" s="61">
        <f>IFERROR($L$7/$L$8,"")</f>
        <v>0.05</v>
      </c>
    </row>
    <row r="10" ht="32" customHeight="1">
      <c r="B10" s="64" t="inlineStr">
        <is>
          <t>Exemplo prático</t>
        </is>
      </c>
      <c r="C10" s="25" t="inlineStr">
        <is>
          <t>Descobrir a vazão de uma bomba que enche um tanque de 360 m³ em 2 horas, ou quanto tempo o esgoto fica em um tanque de equalização.</t>
        </is>
      </c>
      <c r="D10" s="25" t="n"/>
      <c r="E10" s="25" t="n"/>
      <c r="F10" s="25" t="n"/>
      <c r="G10" s="25" t="n"/>
      <c r="H10" s="25" t="n"/>
      <c r="K10" s="61" t="inlineStr">
        <is>
          <t>[Vazão por volume e tempo] Qh</t>
        </is>
      </c>
      <c r="L10" s="61">
        <f>IFERROR($L$9*3600,"")</f>
        <v>180</v>
      </c>
    </row>
    <row r="11" ht="10" customHeight="1">
      <c r="K11" s="61" t="inlineStr">
        <is>
          <t>[Vazão por volume e tempo] Ql</t>
        </is>
      </c>
      <c r="L11" s="61">
        <f>IFERROR($L$9*1000,"")</f>
        <v>50</v>
      </c>
    </row>
    <row r="12" ht="24" customHeight="1">
      <c r="B12" s="63" t="inlineStr">
        <is>
          <t>FERRAMENTAS DESTA CALCULADORA</t>
        </is>
      </c>
      <c r="C12" s="63" t="n"/>
      <c r="D12" s="63" t="n"/>
      <c r="E12" s="63" t="n"/>
      <c r="F12" s="63" t="n"/>
      <c r="G12" s="63" t="n"/>
      <c r="H12" s="63" t="n"/>
      <c r="K12" s="61" t="inlineStr">
        <is>
          <t>[Vazão por volume e tempo] Qd</t>
        </is>
      </c>
      <c r="L12" s="61">
        <f>IFERROR($L$9*86400,"")</f>
        <v>4320</v>
      </c>
    </row>
    <row r="13" ht="29.4" customHeight="1">
      <c r="B13" s="38" t="inlineStr">
        <is>
          <t>▶ Ferramenta 1</t>
        </is>
      </c>
      <c r="C13" s="65" t="inlineStr">
        <is>
          <t>Vazão a partir de volume e tempo: Calcula a vazão quando você sabe quanto volume passou e em quanto tempo. O resultado sai automaticamente em m³/s, m³/h, L/s e m³/dia.</t>
        </is>
      </c>
      <c r="D13" s="65" t="n"/>
      <c r="E13" s="65" t="n"/>
      <c r="F13" s="65" t="n"/>
      <c r="G13" s="65" t="n"/>
      <c r="H13" s="65" t="n"/>
      <c r="K13" s="61" t="inlineStr">
        <is>
          <t>[Vazão por volume e tempo] mensagem de validação</t>
        </is>
      </c>
      <c r="L13" s="61" t="str">
        <f>IFERROR(IF($L$4=0,"Escolha um cenário na lista: Exemplo 01, Exemplo 02 ou Meu cálculo.",IF($G$30="","Informe o volume para continuar.",IF(NOT(ISNUMBER($G$30)),"O volume precisa ser um número. Confira o valor digitado.",IF($G$30&lt;=0,"O volume deve ser maior que zero.",IF($L$5="","Confira a unidade selecionada para o volume.",IF($G$32="","Informe o tempo para continuar.",IF(NOT(ISNUMBER($G$32)),"O tempo precisa ser um número. Confira o valor digitado.",IF($G$32&lt;=0,"O tempo deve ser maior que zero.",IF($L$6="","Confira a unidade selecionada para o tempo.",""))))))))),"Resultado indisponível: existem dados inválidos.")</f>
        <v/>
      </c>
    </row>
    <row r="14" ht="29.4" customHeight="1">
      <c r="B14" s="38" t="inlineStr">
        <is>
          <t>▶ Ferramenta 2</t>
        </is>
      </c>
      <c r="C14" s="65" t="inlineStr">
        <is>
          <t>Vazão em tubulações: Calcula a área da seção de um tubo circular e a vazão transportada a partir do diâmetro interno e da velocidade média do escoamento.</t>
        </is>
      </c>
      <c r="D14" s="65" t="n"/>
      <c r="E14" s="65" t="n"/>
      <c r="F14" s="65" t="n"/>
      <c r="G14" s="65" t="n"/>
      <c r="H14" s="65" t="n"/>
      <c r="K14" s="61" t="inlineStr">
        <is>
          <t>[Vazão por volume e tempo] dados válidos?</t>
        </is>
      </c>
      <c r="L14" s="61" t="b">
        <f>$L$13=""</f>
        <v>1</v>
      </c>
    </row>
    <row r="15" ht="29.4" customHeight="1">
      <c r="B15" s="38" t="inlineStr">
        <is>
          <t>▶ Ferramenta 3</t>
        </is>
      </c>
      <c r="C15" s="65" t="inlineStr">
        <is>
          <t>Velocidade do escoamento: Calcula a velocidade média do líquido dentro de um tubo circular a partir da vazão e do diâmetro interno.</t>
        </is>
      </c>
      <c r="D15" s="65" t="n"/>
      <c r="E15" s="65" t="n"/>
      <c r="F15" s="65" t="n"/>
      <c r="G15" s="65" t="n"/>
      <c r="H15" s="65" t="n"/>
      <c r="K15" s="61" t="inlineStr">
        <is>
          <t>[Vazão por volume e tempo] Qd (arredondado)</t>
        </is>
      </c>
      <c r="L15" s="61">
        <f>IFERROR(ROUND($L$12,IF($L$12=0,0,4-INT(LOG10(ABS($L$12))))),"")</f>
        <v>4320</v>
      </c>
    </row>
    <row r="16" ht="29.4" customHeight="1">
      <c r="B16" s="38" t="inlineStr">
        <is>
          <t>▶ Ferramenta 4</t>
        </is>
      </c>
      <c r="C16" s="65" t="inlineStr">
        <is>
          <t>Tempo de detenção hidráulica (TDH): Calcula quanto tempo, em média, o líquido permanece dentro de um tanque, reator ou lagoa.</t>
        </is>
      </c>
      <c r="D16" s="65" t="n"/>
      <c r="E16" s="65" t="n"/>
      <c r="F16" s="65" t="n"/>
      <c r="G16" s="65" t="n"/>
      <c r="H16" s="65" t="n"/>
      <c r="K16" s="61" t="inlineStr">
        <is>
          <t>[Vazão por volume e tempo] Qd (texto)</t>
        </is>
      </c>
      <c r="L16" s="61" t="str">
        <f>IF(ISNUMBER($L$15),FIXED($L$15,IF(ROUND($L$15,0)=$L$15,0,IF(ROUND($L$15,1)=$L$15,1,IF(ROUND($L$15,2)=$L$15,2,IF(ROUND($L$15,3)=$L$15,3,IF(ROUND($L$15,4)=$L$15,4,IF(ROUND($L$15,5)=$L$15,5,IF(ROUND($L$15,6)=$L$15,6,7)))))))),"?")</f>
        <v>4.320</v>
      </c>
    </row>
    <row r="17" ht="6" customHeight="1">
      <c r="K17" s="61" t="inlineStr">
        <is>
          <t>[Vazão por volume e tempo] Qh (arredondado)</t>
        </is>
      </c>
      <c r="L17" s="61">
        <f>IFERROR(ROUND($L$10,IF($L$10=0,0,4-INT(LOG10(ABS($L$10))))),"")</f>
        <v>180</v>
      </c>
    </row>
    <row r="18" ht="30" customHeight="1">
      <c r="B18" s="47" t="inlineStr">
        <is>
          <t>Ferramenta escolhida ▼</t>
        </is>
      </c>
      <c r="C18" s="66" t="inlineStr">
        <is>
          <t>Ferramenta 1: Vazão por volume e tempo</t>
        </is>
      </c>
      <c r="D18" s="67" t="n"/>
      <c r="E18" s="67" t="n"/>
      <c r="F18" s="68" t="inlineStr">
        <is>
          <t>A ferramenta escolhida fica com o título em verde. Use os botões azuis acima para ir até ela.</t>
        </is>
      </c>
      <c r="G18" s="68" t="n"/>
      <c r="H18" s="68" t="n"/>
      <c r="K18" s="61" t="inlineStr">
        <is>
          <t>[Vazão por volume e tempo] Qh (texto)</t>
        </is>
      </c>
      <c r="L18" s="61" t="str">
        <f>IF(ISNUMBER($L$17),FIXED($L$17,IF(ROUND($L$17,0)=$L$17,0,IF(ROUND($L$17,1)=$L$17,1,IF(ROUND($L$17,2)=$L$17,2,IF(ROUND($L$17,3)=$L$17,3,IF(ROUND($L$17,4)=$L$17,4,IF(ROUND($L$17,5)=$L$17,5,IF(ROUND($L$17,6)=$L$17,6,7)))))))),"?")</f>
        <v>180</v>
      </c>
    </row>
    <row r="19" ht="28" customHeight="1">
      <c r="B19" s="69" t="inlineStr">
        <is>
          <t>Resultado atual</t>
        </is>
      </c>
      <c r="C19" s="70" t="str">
        <f>IFERROR(CHOOSE($L$3,$L$31,$L$55,$L$77,$L$100),"—")</f>
        <v>180 m³/h</v>
      </c>
      <c r="D19" s="70" t="n"/>
      <c r="E19" s="70" t="n"/>
      <c r="F19" s="70" t="n"/>
      <c r="G19" s="70" t="n"/>
      <c r="H19" s="70" t="n"/>
      <c r="K19" s="61" t="inlineStr">
        <is>
          <t>[Vazão por volume e tempo] Ql (arredondado)</t>
        </is>
      </c>
      <c r="L19" s="61">
        <f>IFERROR(ROUND($L$11,IF($L$11=0,0,4-INT(LOG10(ABS($L$11))))),"")</f>
        <v>50</v>
      </c>
    </row>
    <row r="20" ht="21" customHeight="1">
      <c r="B20" s="69" t="inlineStr">
        <is>
          <t>Status</t>
        </is>
      </c>
      <c r="C20" s="71" t="str">
        <f>IFERROR(CHOOSE($L$3,C42,C77,C113,C149),"Escolha uma ferramenta.")</f>
        <v>✔ Dados válidos. Resultado calculado automaticamente.</v>
      </c>
      <c r="D20" s="71" t="n"/>
      <c r="E20" s="71" t="n"/>
      <c r="F20" s="71" t="n"/>
      <c r="G20" s="71" t="n"/>
      <c r="H20" s="71" t="n"/>
      <c r="K20" s="61" t="inlineStr">
        <is>
          <t>[Vazão por volume e tempo] Ql (texto)</t>
        </is>
      </c>
      <c r="L20" s="61" t="str">
        <f>IF(ISNUMBER($L$19),FIXED($L$19,IF(ROUND($L$19,0)=$L$19,0,IF(ROUND($L$19,1)=$L$19,1,IF(ROUND($L$19,2)=$L$19,2,IF(ROUND($L$19,3)=$L$19,3,IF(ROUND($L$19,4)=$L$19,4,IF(ROUND($L$19,5)=$L$19,5,IF(ROUND($L$19,6)=$L$19,6,7)))))))),"?")</f>
        <v>50</v>
      </c>
    </row>
    <row r="21" ht="14" customHeight="1">
      <c r="K21" s="61" t="inlineStr">
        <is>
          <t>[Vazão por volume e tempo] V (arredondado)</t>
        </is>
      </c>
      <c r="L21" s="61">
        <f>IFERROR(ROUND($G$30,IF($G$30=0,0,4-INT(LOG10(ABS($G$30))))),"")</f>
        <v>360</v>
      </c>
    </row>
    <row r="22" ht="30" customHeight="1">
      <c r="B22" s="72" t="inlineStr">
        <is>
          <t>FERRAMENTA 1  ·  VAZÃO A PARTIR DE VOLUME E TEMPO</t>
        </is>
      </c>
      <c r="C22" s="72" t="n"/>
      <c r="D22" s="72" t="n"/>
      <c r="E22" s="72" t="n"/>
      <c r="F22" s="72" t="n"/>
      <c r="G22" s="72" t="n"/>
      <c r="H22" s="73" t="inlineStr">
        <is>
          <t>▲ Voltar ao topo</t>
        </is>
      </c>
      <c r="K22" s="61" t="inlineStr">
        <is>
          <t>[Vazão por volume e tempo] V (texto)</t>
        </is>
      </c>
      <c r="L22" s="61" t="str">
        <f>IF(ISNUMBER($L$21),FIXED($L$21,IF(ROUND($L$21,0)=$L$21,0,IF(ROUND($L$21,1)=$L$21,1,IF(ROUND($L$21,2)=$L$21,2,IF(ROUND($L$21,3)=$L$21,3,IF(ROUND($L$21,4)=$L$21,4,IF(ROUND($L$21,5)=$L$21,5,IF(ROUND($L$21,6)=$L$21,6,7)))))))),"?")</f>
        <v>360</v>
      </c>
    </row>
    <row r="23" ht="32" customHeight="1">
      <c r="B23" s="74" t="inlineStr">
        <is>
          <t>Calcula a vazão quando você sabe quanto volume passou e em quanto tempo. O resultado sai automaticamente em m³/s, m³/h, L/s e m³/dia.</t>
        </is>
      </c>
      <c r="C23" s="74" t="n"/>
      <c r="D23" s="74" t="n"/>
      <c r="E23" s="74" t="n"/>
      <c r="F23" s="74" t="n"/>
      <c r="G23" s="74" t="n"/>
      <c r="H23" s="74" t="n"/>
      <c r="K23" s="61" t="inlineStr">
        <is>
          <t>[Vazão por volume e tempo] t (arredondado)</t>
        </is>
      </c>
      <c r="L23" s="61">
        <f>IFERROR(ROUND($G$32,IF($G$32=0,0,4-INT(LOG10(ABS($G$32))))),"")</f>
        <v>2</v>
      </c>
    </row>
    <row r="24" ht="6" customHeight="1">
      <c r="K24" s="61" t="inlineStr">
        <is>
          <t>[Vazão por volume e tempo] t (texto)</t>
        </is>
      </c>
      <c r="L24" s="61" t="str">
        <f>IF(ISNUMBER($L$23),FIXED($L$23,IF(ROUND($L$23,0)=$L$23,0,IF(ROUND($L$23,1)=$L$23,1,IF(ROUND($L$23,2)=$L$23,2,IF(ROUND($L$23,3)=$L$23,3,IF(ROUND($L$23,4)=$L$23,4,IF(ROUND($L$23,5)=$L$23,5,IF(ROUND($L$23,6)=$L$23,6,7)))))))),"?")</f>
        <v>2</v>
      </c>
    </row>
    <row r="25" ht="20" customHeight="1">
      <c r="B25" s="75" t="inlineStr">
        <is>
          <t>B · ESCOLHA DO CENÁRIO</t>
        </is>
      </c>
      <c r="C25" s="75" t="n"/>
      <c r="D25" s="75" t="n"/>
      <c r="E25" s="75" t="n"/>
      <c r="F25" s="75" t="n"/>
      <c r="G25" s="75" t="n"/>
      <c r="H25" s="75" t="n"/>
      <c r="K25" s="61" t="inlineStr">
        <is>
          <t>[Vazão por volume e tempo] Qs (arredondado)</t>
        </is>
      </c>
      <c r="L25" s="61">
        <f>IFERROR(ROUND($L$9,IF($L$9=0,0,4-INT(LOG10(ABS($L$9))))),"")</f>
        <v>0.05</v>
      </c>
    </row>
    <row r="26" ht="30" customHeight="1">
      <c r="B26" s="47" t="inlineStr">
        <is>
          <t>Cenário  ▼</t>
        </is>
      </c>
      <c r="C26" s="76" t="inlineStr">
        <is>
          <t>Exemplo 01</t>
        </is>
      </c>
      <c r="D26" s="77" t="n"/>
      <c r="E26" s="68" t="inlineStr">
        <is>
          <t>Exemplo 01 e Exemplo 02 usam dados prontos. Meu cálculo usa os valores que você digitar na coluna amarela.</t>
        </is>
      </c>
      <c r="F26" s="68" t="n"/>
      <c r="G26" s="68" t="n"/>
      <c r="H26" s="68" t="n"/>
      <c r="K26" s="61" t="inlineStr">
        <is>
          <t>[Vazão por volume e tempo] Qs (texto)</t>
        </is>
      </c>
      <c r="L26" s="61" t="str">
        <f>IF(ISNUMBER($L$25),FIXED($L$25,IF(ROUND($L$25,0)=$L$25,0,IF(ROUND($L$25,1)=$L$25,1,IF(ROUND($L$25,2)=$L$25,2,IF(ROUND($L$25,3)=$L$25,3,IF(ROUND($L$25,4)=$L$25,4,IF(ROUND($L$25,5)=$L$25,5,IF(ROUND($L$25,6)=$L$25,6,7)))))))),"?")</f>
        <v>0,05</v>
      </c>
    </row>
    <row r="27" ht="6" customHeight="1">
      <c r="K27" s="61" t="inlineStr">
        <is>
          <t>[Vazão por volume e tempo] Vm (arredondado)</t>
        </is>
      </c>
      <c r="L27" s="61">
        <f>IFERROR(ROUND($L$7,IF($L$7=0,0,4-INT(LOG10(ABS($L$7))))),"")</f>
        <v>360</v>
      </c>
    </row>
    <row r="28" ht="20" customHeight="1">
      <c r="B28" s="75" t="inlineStr">
        <is>
          <t>C · DADOS DE ENTRADA</t>
        </is>
      </c>
      <c r="C28" s="75" t="n"/>
      <c r="D28" s="75" t="n"/>
      <c r="E28" s="75" t="n"/>
      <c r="F28" s="75" t="n"/>
      <c r="G28" s="75" t="n"/>
      <c r="H28" s="75" t="n"/>
      <c r="K28" s="61" t="inlineStr">
        <is>
          <t>[Vazão por volume e tempo] Vm (texto)</t>
        </is>
      </c>
      <c r="L28" s="61" t="str">
        <f>IF(ISNUMBER($L$27),FIXED($L$27,IF(ROUND($L$27,0)=$L$27,0,IF(ROUND($L$27,1)=$L$27,1,IF(ROUND($L$27,2)=$L$27,2,IF(ROUND($L$27,3)=$L$27,3,IF(ROUND($L$27,4)=$L$27,4,IF(ROUND($L$27,5)=$L$27,5,IF(ROUND($L$27,6)=$L$27,6,7)))))))),"?")</f>
        <v>360</v>
      </c>
    </row>
    <row r="29" ht="22" customHeight="1">
      <c r="B29" s="78" t="inlineStr">
        <is>
          <t>Variável</t>
        </is>
      </c>
      <c r="C29" s="78" t="inlineStr">
        <is>
          <t>Exemplo 01</t>
        </is>
      </c>
      <c r="D29" s="78" t="inlineStr">
        <is>
          <t>Exemplo 02</t>
        </is>
      </c>
      <c r="E29" s="79" t="inlineStr">
        <is>
          <t>MEU CÁLCULO</t>
        </is>
      </c>
      <c r="F29" s="78" t="inlineStr">
        <is>
          <t>Unidade</t>
        </is>
      </c>
      <c r="G29" s="80" t="inlineStr">
        <is>
          <t>Valor em uso</t>
        </is>
      </c>
      <c r="H29" s="78" t="inlineStr">
        <is>
          <t>Orientação de preenchimento</t>
        </is>
      </c>
      <c r="K29" s="61" t="inlineStr">
        <is>
          <t>[Vazão por volume e tempo] ts (arredondado)</t>
        </is>
      </c>
      <c r="L29" s="61">
        <f>IFERROR(ROUND($L$8,IF($L$8=0,0,4-INT(LOG10(ABS($L$8))))),"")</f>
        <v>7200</v>
      </c>
    </row>
    <row r="30" ht="29.4" customHeight="1">
      <c r="B30" s="47" t="inlineStr">
        <is>
          <t>Volume</t>
        </is>
      </c>
      <c r="C30" s="81" t="n">
        <v>360</v>
      </c>
      <c r="D30" s="81" t="n">
        <v>15000</v>
      </c>
      <c r="E30" s="82" t="n"/>
      <c r="F30" s="83" t="str">
        <f>$G$31</f>
        <v>m³</v>
      </c>
      <c r="G30" s="84">
        <f>IF($L$4=1,C30,IF($L$4=2,D30,IF($L$4=3,IF(E30="","",E30),"")))</f>
        <v>360</v>
      </c>
      <c r="H30" s="85" t="inlineStr">
        <is>
          <t>Volume que passou, encheu ou esvaziou. Ex.: 360</t>
        </is>
      </c>
      <c r="K30" s="61" t="inlineStr">
        <is>
          <t>[Vazão por volume e tempo] ts (texto)</t>
        </is>
      </c>
      <c r="L30" s="61" t="str">
        <f>IF(ISNUMBER($L$29),FIXED($L$29,IF(ROUND($L$29,0)=$L$29,0,IF(ROUND($L$29,1)=$L$29,1,IF(ROUND($L$29,2)=$L$29,2,IF(ROUND($L$29,3)=$L$29,3,IF(ROUND($L$29,4)=$L$29,4,IF(ROUND($L$29,5)=$L$29,5,IF(ROUND($L$29,6)=$L$29,6,7)))))))),"?")</f>
        <v>7.200</v>
      </c>
    </row>
    <row r="31" ht="22" customHeight="1">
      <c r="B31" s="47" t="inlineStr">
        <is>
          <t>Unidade do volume</t>
        </is>
      </c>
      <c r="C31" s="81" t="inlineStr">
        <is>
          <t>m³</t>
        </is>
      </c>
      <c r="D31" s="81" t="inlineStr">
        <is>
          <t>L</t>
        </is>
      </c>
      <c r="E31" s="82" t="inlineStr">
        <is>
          <t>m³</t>
        </is>
      </c>
      <c r="F31" s="83" t="inlineStr">
        <is>
          <t>lista ▼</t>
        </is>
      </c>
      <c r="G31" s="84" t="str">
        <f>IF($L$4=1,C31,IF($L$4=2,D31,IF($L$4=3,IF(E31="","",E31),"")))</f>
        <v>m³</v>
      </c>
      <c r="H31" s="85" t="inlineStr">
        <is>
          <t>Escolha m³ ou L na lista.</t>
        </is>
      </c>
      <c r="K31" s="61" t="inlineStr">
        <is>
          <t>[Vazão por volume e tempo] resumo</t>
        </is>
      </c>
      <c r="L31" s="61" t="str">
        <f>IF($L$14,$L$18&amp;" "&amp;"m³/h","—")</f>
        <v>180 m³/h</v>
      </c>
    </row>
    <row r="32" ht="22" customHeight="1">
      <c r="B32" s="47" t="inlineStr">
        <is>
          <t>Tempo</t>
        </is>
      </c>
      <c r="C32" s="81" t="n">
        <v>2</v>
      </c>
      <c r="D32" s="81" t="n">
        <v>25</v>
      </c>
      <c r="E32" s="82" t="n"/>
      <c r="F32" s="83" t="str">
        <f>$G$33</f>
        <v>h</v>
      </c>
      <c r="G32" s="84">
        <f>IF($L$4=1,C32,IF($L$4=2,D32,IF($L$4=3,IF(E32="","",E32),"")))</f>
        <v>2</v>
      </c>
      <c r="H32" s="85" t="inlineStr">
        <is>
          <t>Tempo gasto para esse volume passar. Ex.: 2</t>
        </is>
      </c>
      <c r="K32" s="61" t="inlineStr">
        <is>
          <t>índice do cenário (1, 2 ou 3)</t>
        </is>
      </c>
      <c r="L32" s="61">
        <f>IFERROR(MATCH($C$62,{"Exemplo 01","Exemplo 02","Meu cálculo"},0),0)</f>
        <v>1</v>
      </c>
    </row>
    <row r="33" ht="22" customHeight="1">
      <c r="B33" s="47" t="inlineStr">
        <is>
          <t>Unidade do tempo</t>
        </is>
      </c>
      <c r="C33" s="81" t="inlineStr">
        <is>
          <t>h</t>
        </is>
      </c>
      <c r="D33" s="81" t="inlineStr">
        <is>
          <t>min</t>
        </is>
      </c>
      <c r="E33" s="82" t="inlineStr">
        <is>
          <t>h</t>
        </is>
      </c>
      <c r="F33" s="83" t="inlineStr">
        <is>
          <t>lista ▼</t>
        </is>
      </c>
      <c r="G33" s="84" t="str">
        <f>IF($L$4=1,C33,IF($L$4=2,D33,IF($L$4=3,IF(E33="","",E33),"")))</f>
        <v>h</v>
      </c>
      <c r="H33" s="85" t="inlineStr">
        <is>
          <t>Escolha s, min, h ou dia.</t>
        </is>
      </c>
      <c r="K33" s="61" t="inlineStr">
        <is>
          <t>[Vazão em tubulações] fD</t>
        </is>
      </c>
      <c r="L33" s="61">
        <f>IFERROR(CHOOSE(MATCH($G$67,{"m","cm","mm","pol"},0),1,0.01,0.001,0.0254),"")</f>
        <v>1</v>
      </c>
    </row>
    <row r="34" ht="8" customHeight="1">
      <c r="K34" s="61" t="inlineStr">
        <is>
          <t>[Vazão em tubulações] Dm</t>
        </is>
      </c>
      <c r="L34" s="61">
        <f>IFERROR($G$66*$L$33,"")</f>
        <v>0.3</v>
      </c>
    </row>
    <row r="35" ht="24" customHeight="1">
      <c r="B35" s="86" t="inlineStr">
        <is>
          <t>D · RESULTADO AUTOMÁTICO</t>
        </is>
      </c>
      <c r="C35" s="86" t="n"/>
      <c r="D35" s="86" t="n"/>
      <c r="E35" s="86" t="n"/>
      <c r="F35" s="86" t="n"/>
      <c r="G35" s="86" t="n"/>
      <c r="H35" s="86" t="n"/>
      <c r="K35" s="61" t="inlineStr">
        <is>
          <t>[Vazão em tubulações] A</t>
        </is>
      </c>
      <c r="L35" s="61">
        <f>IFERROR(PI()*$L$34^2/4,"")</f>
        <v>0.0706858347057704</v>
      </c>
    </row>
    <row r="36" ht="22" customHeight="1">
      <c r="B36" s="87" t="inlineStr">
        <is>
          <t>VAZÃO EM m³/h</t>
        </is>
      </c>
      <c r="C36" s="87" t="n"/>
      <c r="D36" s="87" t="n"/>
      <c r="E36" s="88" t="inlineStr">
        <is>
          <t>OUTROS RESULTADOS</t>
        </is>
      </c>
      <c r="F36" s="88" t="n"/>
      <c r="G36" s="88" t="n"/>
      <c r="H36" s="88" t="n"/>
      <c r="K36" s="61" t="inlineStr">
        <is>
          <t>[Vazão em tubulações] Q</t>
        </is>
      </c>
      <c r="L36" s="61">
        <f>IFERROR($L$35*$G$68,"")</f>
        <v>0.106028752058656</v>
      </c>
    </row>
    <row r="37" ht="21" customHeight="1">
      <c r="B37" s="89">
        <f>IF($L$14,$L$10,"—")</f>
        <v>180</v>
      </c>
      <c r="C37" s="90" t="n"/>
      <c r="D37" s="91" t="inlineStr">
        <is>
          <t>m³/h</t>
        </is>
      </c>
      <c r="E37" s="92" t="inlineStr">
        <is>
          <t>Vazão em m³/s</t>
        </is>
      </c>
      <c r="F37" s="92" t="n"/>
      <c r="G37" s="93">
        <f>IF($L$14,$L$9,"—")</f>
        <v>0.05</v>
      </c>
      <c r="H37" s="94" t="inlineStr">
        <is>
          <t>m³/s</t>
        </is>
      </c>
      <c r="K37" s="61" t="inlineStr">
        <is>
          <t>[Vazão em tubulações] Ql</t>
        </is>
      </c>
      <c r="L37" s="61">
        <f>IFERROR($L$36*1000,"")</f>
        <v>106.028752058656</v>
      </c>
    </row>
    <row r="38" ht="21" customHeight="1">
      <c r="B38" s="90" t="n"/>
      <c r="C38" s="90" t="n"/>
      <c r="D38" s="91" t="n"/>
      <c r="E38" s="92" t="inlineStr">
        <is>
          <t>Vazão em L/s</t>
        </is>
      </c>
      <c r="F38" s="92" t="n"/>
      <c r="G38" s="93">
        <f>IF($L$14,$L$11,"—")</f>
        <v>50</v>
      </c>
      <c r="H38" s="94" t="inlineStr">
        <is>
          <t>L/s</t>
        </is>
      </c>
      <c r="K38" s="61" t="inlineStr">
        <is>
          <t>[Vazão em tubulações] Qh</t>
        </is>
      </c>
      <c r="L38" s="61">
        <f>IFERROR($L$36*3600,"")</f>
        <v>381.70350741116</v>
      </c>
    </row>
    <row r="39" ht="21" customHeight="1">
      <c r="B39" s="90" t="n"/>
      <c r="C39" s="90" t="n"/>
      <c r="D39" s="91" t="n"/>
      <c r="E39" s="92" t="inlineStr">
        <is>
          <t>Vazão em m³/dia</t>
        </is>
      </c>
      <c r="F39" s="92" t="n"/>
      <c r="G39" s="93">
        <f>IF($L$14,$L$12,"—")</f>
        <v>4320</v>
      </c>
      <c r="H39" s="94" t="inlineStr">
        <is>
          <t>m³/dia</t>
        </is>
      </c>
      <c r="K39" s="61" t="inlineStr">
        <is>
          <t>[Vazão em tubulações] mensagem de validação</t>
        </is>
      </c>
      <c r="L39" s="61" t="str">
        <f>IFERROR(IF($L$32=0,"Escolha um cenário na lista: Exemplo 01, Exemplo 02 ou Meu cálculo.",IF($G$66="","Informe o diâmetro para continuar.",IF(NOT(ISNUMBER($G$66)),"O diâmetro precisa ser um número. Confira o valor digitado.",IF($G$66&lt;=0,"O diâmetro deve ser maior que zero.",IF($L$33="","Confira a unidade selecionada para o diâmetro.",IF($G$68="","Informe a velocidade para continuar.",IF(NOT(ISNUMBER($G$68)),"A velocidade precisa ser um número. Confira o valor digitado.",IF($G$68&lt;=0,"A velocidade deve ser maior que zero.","")))))))),"Resultado indisponível: existem dados inválidos.")</f>
        <v/>
      </c>
    </row>
    <row r="40" ht="21" customHeight="1">
      <c r="B40" s="90" t="n"/>
      <c r="C40" s="90" t="n"/>
      <c r="D40" s="91" t="n"/>
      <c r="E40" s="95" t="n"/>
      <c r="F40" s="95" t="n"/>
      <c r="G40" s="95" t="n"/>
      <c r="H40" s="95" t="n"/>
      <c r="K40" s="61" t="inlineStr">
        <is>
          <t>[Vazão em tubulações] dados válidos?</t>
        </is>
      </c>
      <c r="L40" s="61" t="b">
        <f>$L$39=""</f>
        <v>1</v>
      </c>
    </row>
    <row r="41" ht="21" customHeight="1">
      <c r="B41" s="96" t="inlineStr">
        <is>
          <t>Interpretação</t>
        </is>
      </c>
      <c r="C41" s="97" t="str">
        <f>IF($L$14,"A cada hora passam "&amp;$L$18&amp;" m³ de líquido. Isso é o mesmo que "&amp;$L$20&amp;" litros por segundo, ou "&amp;$L$16&amp;" m³ por dia.","Resultado indisponível: corrija o item indicado em Status dos dados.")</f>
        <v>A cada hora passam 180 m³ de líquido. Isso é o mesmo que 50 litros por segundo, ou 4.320 m³ por dia.</v>
      </c>
      <c r="D41" s="97" t="n"/>
      <c r="E41" s="97" t="n"/>
      <c r="F41" s="97" t="n"/>
      <c r="G41" s="97" t="n"/>
      <c r="H41" s="97" t="n"/>
      <c r="K41" s="61" t="inlineStr">
        <is>
          <t>[Vazão em tubulações] A (arredondado)</t>
        </is>
      </c>
      <c r="L41" s="61">
        <f>IFERROR(ROUND($L$35,IF($L$35=0,0,4-INT(LOG10(ABS($L$35))))),"")</f>
        <v>0.070686</v>
      </c>
    </row>
    <row r="42" ht="21" customHeight="1">
      <c r="B42" s="96" t="inlineStr">
        <is>
          <t>Status dos dados</t>
        </is>
      </c>
      <c r="C42" s="98" t="str">
        <f>IF($L$14,"✔ Dados válidos. Resultado calculado automaticamente.","⚠ "&amp;$L$13)</f>
        <v>✔ Dados válidos. Resultado calculado automaticamente.</v>
      </c>
      <c r="D42" s="98" t="n"/>
      <c r="E42" s="98" t="n"/>
      <c r="F42" s="98" t="n"/>
      <c r="G42" s="98" t="n"/>
      <c r="H42" s="98" t="n"/>
      <c r="K42" s="61" t="inlineStr">
        <is>
          <t>[Vazão em tubulações] A (texto)</t>
        </is>
      </c>
      <c r="L42" s="61" t="str">
        <f>IF(ISNUMBER($L$41),FIXED($L$41,IF(ROUND($L$41,0)=$L$41,0,IF(ROUND($L$41,1)=$L$41,1,IF(ROUND($L$41,2)=$L$41,2,IF(ROUND($L$41,3)=$L$41,3,IF(ROUND($L$41,4)=$L$41,4,IF(ROUND($L$41,5)=$L$41,5,IF(ROUND($L$41,6)=$L$41,6,7)))))))),"?")</f>
        <v>0,070686</v>
      </c>
    </row>
    <row r="43" ht="10" customHeight="1">
      <c r="K43" s="61" t="inlineStr">
        <is>
          <t>[Vazão em tubulações] Ql (arredondado)</t>
        </is>
      </c>
      <c r="L43" s="61">
        <f>IFERROR(ROUND($L$37,IF($L$37=0,0,4-INT(LOG10(ABS($L$37))))),"")</f>
        <v>106.03</v>
      </c>
    </row>
    <row r="44" ht="24" customHeight="1">
      <c r="B44" s="99" t="inlineStr">
        <is>
          <t>E · ENTENDA O CÁLCULO</t>
        </is>
      </c>
      <c r="C44" s="99" t="n"/>
      <c r="D44" s="99" t="n"/>
      <c r="E44" s="99" t="n"/>
      <c r="F44" s="99" t="n"/>
      <c r="G44" s="99" t="n"/>
      <c r="H44" s="99" t="n"/>
      <c r="K44" s="61" t="inlineStr">
        <is>
          <t>[Vazão em tubulações] Ql (texto)</t>
        </is>
      </c>
      <c r="L44" s="61" t="str">
        <f>IF(ISNUMBER($L$43),FIXED($L$43,IF(ROUND($L$43,0)=$L$43,0,IF(ROUND($L$43,1)=$L$43,1,IF(ROUND($L$43,2)=$L$43,2,IF(ROUND($L$43,3)=$L$43,3,IF(ROUND($L$43,4)=$L$43,4,IF(ROUND($L$43,5)=$L$43,5,IF(ROUND($L$43,6)=$L$43,6,7)))))))),"?")</f>
        <v>106,03</v>
      </c>
    </row>
    <row r="45" ht="26" customHeight="1">
      <c r="B45" s="64" t="inlineStr">
        <is>
          <t>Fórmula</t>
        </is>
      </c>
      <c r="C45" s="100" t="inlineStr">
        <is>
          <t>Q = V ÷ t</t>
        </is>
      </c>
      <c r="D45" s="100" t="n"/>
      <c r="E45" s="100" t="n"/>
      <c r="F45" s="100" t="n"/>
      <c r="G45" s="100" t="n"/>
      <c r="H45" s="100" t="n"/>
      <c r="K45" s="61" t="inlineStr">
        <is>
          <t>[Vazão em tubulações] D (arredondado)</t>
        </is>
      </c>
      <c r="L45" s="61">
        <f>IFERROR(ROUND($G$66,IF($G$66=0,0,4-INT(LOG10(ABS($G$66))))),"")</f>
        <v>0.3</v>
      </c>
    </row>
    <row r="46" ht="19" customHeight="1">
      <c r="B46" s="64" t="inlineStr">
        <is>
          <t>O que é cada variável</t>
        </is>
      </c>
      <c r="C46" s="25" t="inlineStr">
        <is>
          <t>Q = vazão (volume que passa por unidade de tempo)   |   V = volume   |   t = tempo gasto</t>
        </is>
      </c>
      <c r="D46" s="25" t="n"/>
      <c r="E46" s="25" t="n"/>
      <c r="F46" s="25" t="n"/>
      <c r="G46" s="25" t="n"/>
      <c r="H46" s="25" t="n"/>
      <c r="K46" s="61" t="inlineStr">
        <is>
          <t>[Vazão em tubulações] D (texto)</t>
        </is>
      </c>
      <c r="L46" s="61" t="str">
        <f>IF(ISNUMBER($L$45),FIXED($L$45,IF(ROUND($L$45,0)=$L$45,0,IF(ROUND($L$45,1)=$L$45,1,IF(ROUND($L$45,2)=$L$45,2,IF(ROUND($L$45,3)=$L$45,3,IF(ROUND($L$45,4)=$L$45,4,IF(ROUND($L$45,5)=$L$45,5,IF(ROUND($L$45,6)=$L$45,6,7)))))))),"?")</f>
        <v>0,3</v>
      </c>
    </row>
    <row r="47" ht="21" customHeight="1">
      <c r="B47" s="64" t="inlineStr">
        <is>
          <t>Valores inseridos</t>
        </is>
      </c>
      <c r="C47" s="25" t="str">
        <f>"V = "&amp;$L$22&amp;" "&amp;$G$31&amp;"   |   "&amp;"t = "&amp;$L$24&amp;" "&amp;$G$33</f>
        <v>V = 360 m³   |   t = 2 h</v>
      </c>
      <c r="D47" s="25" t="n"/>
      <c r="E47" s="25" t="n"/>
      <c r="F47" s="25" t="n"/>
      <c r="G47" s="25" t="n"/>
      <c r="H47" s="25" t="n"/>
      <c r="K47" s="61" t="inlineStr">
        <is>
          <t>[Vazão em tubulações] v (arredondado)</t>
        </is>
      </c>
      <c r="L47" s="61">
        <f>IFERROR(ROUND($G$68,IF($G$68=0,0,4-INT(LOG10(ABS($G$68))))),"")</f>
        <v>1.5</v>
      </c>
    </row>
    <row r="48" ht="34" customHeight="1">
      <c r="B48" s="64" t="inlineStr">
        <is>
          <t>Substituição</t>
        </is>
      </c>
      <c r="C48" s="25" t="str">
        <f>IF($L$14,"Convertendo para o SI: V = "&amp;$L$28&amp;" m³ e t = "&amp;$L$30&amp;" s."&amp;CHAR(10)&amp;"Q = "&amp;$L$28&amp;" ÷ "&amp;$L$30&amp;" = "&amp;$L$26&amp;" m³/s","Aguardando dados válidos para montar a conta.")</f>
        <v>Convertendo para o SI: V = 360 m³ e t = 7.200 s.
Q = 360 ÷ 7.200 = 0,05 m³/s</v>
      </c>
      <c r="D48" s="25" t="n"/>
      <c r="E48" s="25" t="n"/>
      <c r="F48" s="25" t="n"/>
      <c r="G48" s="25" t="n"/>
      <c r="H48" s="25" t="n"/>
      <c r="K48" s="61" t="inlineStr">
        <is>
          <t>[Vazão em tubulações] v (texto)</t>
        </is>
      </c>
      <c r="L48" s="61" t="str">
        <f>IF(ISNUMBER($L$47),FIXED($L$47,IF(ROUND($L$47,0)=$L$47,0,IF(ROUND($L$47,1)=$L$47,1,IF(ROUND($L$47,2)=$L$47,2,IF(ROUND($L$47,3)=$L$47,3,IF(ROUND($L$47,4)=$L$47,4,IF(ROUND($L$47,5)=$L$47,5,IF(ROUND($L$47,6)=$L$47,6,7)))))))),"?")</f>
        <v>1,5</v>
      </c>
    </row>
    <row r="49" ht="21" customHeight="1">
      <c r="B49" s="64" t="inlineStr">
        <is>
          <t>Resultado</t>
        </is>
      </c>
      <c r="C49" s="25" t="str">
        <f>IF($L$14,"Q = "&amp;$L$18&amp;" m³/h = "&amp;$L$20&amp;" L/s = "&amp;$L$26&amp;" m³/s = "&amp;$L$16&amp;" m³/dia","Aguardando dados válidos para montar a conta.")</f>
        <v>Q = 180 m³/h = 50 L/s = 0,05 m³/s = 4.320 m³/dia</v>
      </c>
      <c r="D49" s="25" t="n"/>
      <c r="E49" s="25" t="n"/>
      <c r="F49" s="25" t="n"/>
      <c r="G49" s="25" t="n"/>
      <c r="H49" s="25" t="n"/>
      <c r="K49" s="61" t="inlineStr">
        <is>
          <t>[Vazão em tubulações] Dm (arredondado)</t>
        </is>
      </c>
      <c r="L49" s="61">
        <f>IFERROR(ROUND($L$34,IF($L$34=0,0,4-INT(LOG10(ABS($L$34))))),"")</f>
        <v>0.3</v>
      </c>
    </row>
    <row r="50" ht="10" customHeight="1">
      <c r="K50" s="61" t="inlineStr">
        <is>
          <t>[Vazão em tubulações] Dm (texto)</t>
        </is>
      </c>
      <c r="L50" s="61" t="str">
        <f>IF(ISNUMBER($L$49),FIXED($L$49,IF(ROUND($L$49,0)=$L$49,0,IF(ROUND($L$49,1)=$L$49,1,IF(ROUND($L$49,2)=$L$49,2,IF(ROUND($L$49,3)=$L$49,3,IF(ROUND($L$49,4)=$L$49,4,IF(ROUND($L$49,5)=$L$49,5,IF(ROUND($L$49,6)=$L$49,6,7)))))))),"?")</f>
        <v>0,3</v>
      </c>
    </row>
    <row r="51" ht="24" customHeight="1">
      <c r="B51" s="99" t="inlineStr">
        <is>
          <t>F · EXEMPLO E ORIENTAÇÃO</t>
        </is>
      </c>
      <c r="C51" s="99" t="n"/>
      <c r="D51" s="99" t="n"/>
      <c r="E51" s="99" t="n"/>
      <c r="F51" s="99" t="n"/>
      <c r="G51" s="99" t="n"/>
      <c r="H51" s="99" t="n"/>
      <c r="K51" s="61" t="inlineStr">
        <is>
          <t>[Vazão em tubulações] Q (arredondado)</t>
        </is>
      </c>
      <c r="L51" s="61">
        <f>IFERROR(ROUND($L$36,IF($L$36=0,0,4-INT(LOG10(ABS($L$36))))),"")</f>
        <v>0.10603</v>
      </c>
    </row>
    <row r="52" ht="58" customHeight="1">
      <c r="B52" s="64" t="inlineStr">
        <is>
          <t>Exemplos desta ferramenta</t>
        </is>
      </c>
      <c r="C52" s="25" t="inlineStr">
        <is>
          <t>Exemplo 01: Uma bomba enche um tanque de 360 m³ em 2 horas. Qual é a vazão da bomba?
Exemplo 02: Um reservatório com 15.000 litros foi esvaziado em 25 minutos. Qual foi a vazão média de saída?
Escolha o exemplo na lista Cenário para ver a resolução completa.</t>
        </is>
      </c>
      <c r="D52" s="25" t="n"/>
      <c r="E52" s="25" t="n"/>
      <c r="F52" s="25" t="n"/>
      <c r="G52" s="25" t="n"/>
      <c r="H52" s="25" t="n"/>
      <c r="K52" s="61" t="inlineStr">
        <is>
          <t>[Vazão em tubulações] Q (texto)</t>
        </is>
      </c>
      <c r="L52" s="61" t="str">
        <f>IF(ISNUMBER($L$51),FIXED($L$51,IF(ROUND($L$51,0)=$L$51,0,IF(ROUND($L$51,1)=$L$51,1,IF(ROUND($L$51,2)=$L$51,2,IF(ROUND($L$51,3)=$L$51,3,IF(ROUND($L$51,4)=$L$51,4,IF(ROUND($L$51,5)=$L$51,5,IF(ROUND($L$51,6)=$L$51,6,7)))))))),"?")</f>
        <v>0,10603</v>
      </c>
    </row>
    <row r="53" ht="32" customHeight="1">
      <c r="B53" s="64" t="inlineStr">
        <is>
          <t>Como interpretar</t>
        </is>
      </c>
      <c r="C53" s="25" t="inlineStr">
        <is>
          <t>Quanto maior a vazão, mais volume passa no mesmo tempo. Use m³/s em fórmulas de hidráulica e m³/dia em cálculos de carga e dosagem.</t>
        </is>
      </c>
      <c r="D53" s="25" t="n"/>
      <c r="E53" s="25" t="n"/>
      <c r="F53" s="25" t="n"/>
      <c r="G53" s="25" t="n"/>
      <c r="H53" s="25" t="n"/>
      <c r="K53" s="61" t="inlineStr">
        <is>
          <t>[Vazão em tubulações] Qh (arredondado)</t>
        </is>
      </c>
      <c r="L53" s="61">
        <f>IFERROR(ROUND($L$38,IF($L$38=0,0,4-INT(LOG10(ABS($L$38))))),"")</f>
        <v>381.7</v>
      </c>
    </row>
    <row r="54" ht="19" customHeight="1">
      <c r="B54" s="101" t="inlineStr">
        <is>
          <t>⚠ Erro comum</t>
        </is>
      </c>
      <c r="C54" s="102" t="inlineStr">
        <is>
          <t>Esquecer de converter o tempo antes de dividir. 360 m³ em 2 h dá 180 m³/h, e não 180 m³/s.</t>
        </is>
      </c>
      <c r="D54" s="102" t="n"/>
      <c r="E54" s="102" t="n"/>
      <c r="F54" s="102" t="n"/>
      <c r="G54" s="102" t="n"/>
      <c r="H54" s="102" t="n"/>
      <c r="K54" s="61" t="inlineStr">
        <is>
          <t>[Vazão em tubulações] Qh (texto)</t>
        </is>
      </c>
      <c r="L54" s="61" t="str">
        <f>IF(ISNUMBER($L$53),FIXED($L$53,IF(ROUND($L$53,0)=$L$53,0,IF(ROUND($L$53,1)=$L$53,1,IF(ROUND($L$53,2)=$L$53,2,IF(ROUND($L$53,3)=$L$53,3,IF(ROUND($L$53,4)=$L$53,4,IF(ROUND($L$53,5)=$L$53,5,IF(ROUND($L$53,6)=$L$53,6,7)))))))),"?")</f>
        <v>381,7</v>
      </c>
    </row>
    <row r="55" ht="19" customHeight="1">
      <c r="B55" s="103" t="inlineStr">
        <is>
          <t>💡 Dica prática</t>
        </is>
      </c>
      <c r="C55" s="104" t="inlineStr">
        <is>
          <t>Guarde esta relação: 1 L/s = 3,6 m³/h = 86,4 m³/dia.</t>
        </is>
      </c>
      <c r="D55" s="104" t="n"/>
      <c r="E55" s="104" t="n"/>
      <c r="F55" s="104" t="n"/>
      <c r="G55" s="104" t="n"/>
      <c r="H55" s="104" t="n"/>
      <c r="K55" s="61" t="inlineStr">
        <is>
          <t>[Vazão em tubulações] resumo</t>
        </is>
      </c>
      <c r="L55" s="61" t="str">
        <f>IF($L$40,$L$52&amp;" "&amp;"m³/s","—")</f>
        <v>0,10603 m³/s</v>
      </c>
    </row>
    <row r="56" ht="14" customHeight="1">
      <c r="K56" s="61" t="inlineStr">
        <is>
          <t>índice do cenário (1, 2 ou 3)</t>
        </is>
      </c>
      <c r="L56" s="61">
        <f>IFERROR(MATCH($C$97,{"Exemplo 01","Exemplo 02","Meu cálculo"},0),0)</f>
        <v>1</v>
      </c>
    </row>
    <row r="57" ht="14" customHeight="1">
      <c r="K57" s="61" t="inlineStr">
        <is>
          <t>[Velocidade do escoamento] fQ</t>
        </is>
      </c>
      <c r="L57" s="61">
        <f>IFERROR(CHOOSE(MATCH($G$102,{"m³/s","L/s","m³/h","m³/dia"},0),1,0.001,1/3600,1/86400),"")</f>
        <v>1</v>
      </c>
    </row>
    <row r="58" ht="30" customHeight="1">
      <c r="B58" s="72" t="inlineStr">
        <is>
          <t>FERRAMENTA 2  ·  VAZÃO EM TUBULAÇÕES</t>
        </is>
      </c>
      <c r="C58" s="72" t="n"/>
      <c r="D58" s="72" t="n"/>
      <c r="E58" s="72" t="n"/>
      <c r="F58" s="72" t="n"/>
      <c r="G58" s="72" t="n"/>
      <c r="H58" s="73" t="inlineStr">
        <is>
          <t>▲ Voltar ao topo</t>
        </is>
      </c>
      <c r="K58" s="61" t="inlineStr">
        <is>
          <t>[Velocidade do escoamento] Qs</t>
        </is>
      </c>
      <c r="L58" s="61">
        <f>IFERROR($G$101*$L$57,"")</f>
        <v>0.05</v>
      </c>
    </row>
    <row r="59" ht="19" customHeight="1">
      <c r="B59" s="74" t="inlineStr">
        <is>
          <t>Calcula a área da seção de um tubo circular e a vazão transportada a partir do diâmetro interno e da velocidade média do escoamento.</t>
        </is>
      </c>
      <c r="C59" s="74" t="n"/>
      <c r="D59" s="74" t="n"/>
      <c r="E59" s="74" t="n"/>
      <c r="F59" s="74" t="n"/>
      <c r="G59" s="74" t="n"/>
      <c r="H59" s="74" t="n"/>
      <c r="K59" s="61" t="inlineStr">
        <is>
          <t>[Velocidade do escoamento] fD</t>
        </is>
      </c>
      <c r="L59" s="61">
        <f>IFERROR(CHOOSE(MATCH($G$104,{"m","cm","mm","pol"},0),1,0.01,0.001,0.0254),"")</f>
        <v>1</v>
      </c>
    </row>
    <row r="60" ht="6" customHeight="1">
      <c r="K60" s="61" t="inlineStr">
        <is>
          <t>[Velocidade do escoamento] Dm</t>
        </is>
      </c>
      <c r="L60" s="61">
        <f>IFERROR($G$103*$L$59,"")</f>
        <v>0.2</v>
      </c>
    </row>
    <row r="61" ht="20" customHeight="1">
      <c r="B61" s="75" t="inlineStr">
        <is>
          <t>B · ESCOLHA DO CENÁRIO</t>
        </is>
      </c>
      <c r="C61" s="75" t="n"/>
      <c r="D61" s="75" t="n"/>
      <c r="E61" s="75" t="n"/>
      <c r="F61" s="75" t="n"/>
      <c r="G61" s="75" t="n"/>
      <c r="H61" s="75" t="n"/>
      <c r="K61" s="61" t="inlineStr">
        <is>
          <t>[Velocidade do escoamento] A</t>
        </is>
      </c>
      <c r="L61" s="61">
        <f>IFERROR(PI()*$L$60^2/4,"")</f>
        <v>0.0314159265358979</v>
      </c>
    </row>
    <row r="62" ht="30" customHeight="1">
      <c r="B62" s="47" t="inlineStr">
        <is>
          <t>Cenário  ▼</t>
        </is>
      </c>
      <c r="C62" s="76" t="inlineStr">
        <is>
          <t>Exemplo 01</t>
        </is>
      </c>
      <c r="D62" s="77" t="n"/>
      <c r="E62" s="68" t="inlineStr">
        <is>
          <t>Exemplo 01 e Exemplo 02 usam dados prontos. Meu cálculo usa os valores que você digitar na coluna amarela.</t>
        </is>
      </c>
      <c r="F62" s="68" t="n"/>
      <c r="G62" s="68" t="n"/>
      <c r="H62" s="68" t="n"/>
      <c r="K62" s="61" t="inlineStr">
        <is>
          <t>[Velocidade do escoamento] vel</t>
        </is>
      </c>
      <c r="L62" s="61">
        <f>IFERROR($L$58/$L$61,"")</f>
        <v>1.59154943091895</v>
      </c>
    </row>
    <row r="63" ht="6" customHeight="1">
      <c r="K63" s="61" t="inlineStr">
        <is>
          <t>[Velocidade do escoamento] mensagem de validação</t>
        </is>
      </c>
      <c r="L63" s="61" t="str">
        <f>IFERROR(IF($L$56=0,"Escolha um cenário na lista: Exemplo 01, Exemplo 02 ou Meu cálculo.",IF($G$101="","Informe a vazão para continuar.",IF(NOT(ISNUMBER($G$101)),"A vazão precisa ser um número. Confira o valor digitado.",IF($G$101&lt;=0,"A vazão deve ser maior que zero.",IF($L$57="","Confira a unidade selecionada para a vazão.",IF($G$103="","Informe o diâmetro para continuar.",IF(NOT(ISNUMBER($G$103)),"O diâmetro precisa ser um número. Confira o valor digitado.",IF($G$103&lt;=0,"O diâmetro deve ser maior que zero.",IF($L$59="","Confira a unidade selecionada para o diâmetro.",""))))))))),"Resultado indisponível: existem dados inválidos.")</f>
        <v/>
      </c>
    </row>
    <row r="64" ht="20" customHeight="1">
      <c r="B64" s="75" t="inlineStr">
        <is>
          <t>C · DADOS DE ENTRADA</t>
        </is>
      </c>
      <c r="C64" s="75" t="n"/>
      <c r="D64" s="75" t="n"/>
      <c r="E64" s="75" t="n"/>
      <c r="F64" s="75" t="n"/>
      <c r="G64" s="75" t="n"/>
      <c r="H64" s="75" t="n"/>
      <c r="K64" s="61" t="inlineStr">
        <is>
          <t>[Velocidade do escoamento] dados válidos?</t>
        </is>
      </c>
      <c r="L64" s="61" t="b">
        <f>$L$63=""</f>
        <v>1</v>
      </c>
    </row>
    <row r="65" ht="22" customHeight="1">
      <c r="B65" s="78" t="inlineStr">
        <is>
          <t>Variável</t>
        </is>
      </c>
      <c r="C65" s="78" t="inlineStr">
        <is>
          <t>Exemplo 01</t>
        </is>
      </c>
      <c r="D65" s="78" t="inlineStr">
        <is>
          <t>Exemplo 02</t>
        </is>
      </c>
      <c r="E65" s="79" t="inlineStr">
        <is>
          <t>MEU CÁLCULO</t>
        </is>
      </c>
      <c r="F65" s="78" t="inlineStr">
        <is>
          <t>Unidade</t>
        </is>
      </c>
      <c r="G65" s="80" t="inlineStr">
        <is>
          <t>Valor em uso</t>
        </is>
      </c>
      <c r="H65" s="78" t="inlineStr">
        <is>
          <t>Orientação de preenchimento</t>
        </is>
      </c>
      <c r="K65" s="61" t="inlineStr">
        <is>
          <t>[Velocidade do escoamento] vel (arredondado)</t>
        </is>
      </c>
      <c r="L65" s="61">
        <f>IFERROR(ROUND($L$62,IF($L$62=0,0,4-INT(LOG10(ABS($L$62))))),"")</f>
        <v>1.5915</v>
      </c>
    </row>
    <row r="66" ht="29.4" customHeight="1">
      <c r="B66" s="47" t="inlineStr">
        <is>
          <t>Diâmetro interno</t>
        </is>
      </c>
      <c r="C66" s="81" t="n">
        <v>0.3</v>
      </c>
      <c r="D66" s="81" t="n">
        <v>150</v>
      </c>
      <c r="E66" s="82" t="n"/>
      <c r="F66" s="83" t="str">
        <f>$G$67</f>
        <v>m</v>
      </c>
      <c r="G66" s="84">
        <f>IF($L$32=1,C66,IF($L$32=2,D66,IF($L$32=3,IF(E66="","",E66),"")))</f>
        <v>0.3</v>
      </c>
      <c r="H66" s="85" t="inlineStr">
        <is>
          <t>Diâmetro interno do tubo (não use o raio). Ex.: 0,30</t>
        </is>
      </c>
      <c r="K66" s="61" t="inlineStr">
        <is>
          <t>[Velocidade do escoamento] vel (texto)</t>
        </is>
      </c>
      <c r="L66" s="61" t="str">
        <f>IF(ISNUMBER($L$65),FIXED($L$65,IF(ROUND($L$65,0)=$L$65,0,IF(ROUND($L$65,1)=$L$65,1,IF(ROUND($L$65,2)=$L$65,2,IF(ROUND($L$65,3)=$L$65,3,IF(ROUND($L$65,4)=$L$65,4,IF(ROUND($L$65,5)=$L$65,5,IF(ROUND($L$65,6)=$L$65,6,7)))))))),"?")</f>
        <v>1,5915</v>
      </c>
    </row>
    <row r="67" ht="22" customHeight="1">
      <c r="B67" s="47" t="inlineStr">
        <is>
          <t>Unidade do diâmetro</t>
        </is>
      </c>
      <c r="C67" s="81" t="inlineStr">
        <is>
          <t>m</t>
        </is>
      </c>
      <c r="D67" s="81" t="inlineStr">
        <is>
          <t>mm</t>
        </is>
      </c>
      <c r="E67" s="82" t="inlineStr">
        <is>
          <t>m</t>
        </is>
      </c>
      <c r="F67" s="83" t="inlineStr">
        <is>
          <t>lista ▼</t>
        </is>
      </c>
      <c r="G67" s="84" t="str">
        <f>IF($L$32=1,C67,IF($L$32=2,D67,IF($L$32=3,IF(E67="","",E67),"")))</f>
        <v>m</v>
      </c>
      <c r="H67" s="85" t="inlineStr">
        <is>
          <t>Escolha m, cm, mm ou pol.</t>
        </is>
      </c>
      <c r="K67" s="61" t="inlineStr">
        <is>
          <t>[Velocidade do escoamento] D (arredondado)</t>
        </is>
      </c>
      <c r="L67" s="61">
        <f>IFERROR(ROUND($G$103,IF($G$103=0,0,4-INT(LOG10(ABS($G$103))))),"")</f>
        <v>0.2</v>
      </c>
    </row>
    <row r="68" ht="22" customHeight="1">
      <c r="B68" s="47" t="inlineStr">
        <is>
          <t>Velocidade média</t>
        </is>
      </c>
      <c r="C68" s="81" t="n">
        <v>1.5</v>
      </c>
      <c r="D68" s="81" t="n">
        <v>0.8</v>
      </c>
      <c r="E68" s="82" t="n"/>
      <c r="F68" s="83" t="inlineStr">
        <is>
          <t>m/s</t>
        </is>
      </c>
      <c r="G68" s="84">
        <f>IF($L$32=1,C68,IF($L$32=2,D68,IF($L$32=3,IF(E68="","",E68),"")))</f>
        <v>1.5</v>
      </c>
      <c r="H68" s="85" t="inlineStr">
        <is>
          <t>Velocidade média da água no tubo. Ex.: 1,5</t>
        </is>
      </c>
      <c r="K68" s="61" t="inlineStr">
        <is>
          <t>[Velocidade do escoamento] D (texto)</t>
        </is>
      </c>
      <c r="L68" s="61" t="str">
        <f>IF(ISNUMBER($L$67),FIXED($L$67,IF(ROUND($L$67,0)=$L$67,0,IF(ROUND($L$67,1)=$L$67,1,IF(ROUND($L$67,2)=$L$67,2,IF(ROUND($L$67,3)=$L$67,3,IF(ROUND($L$67,4)=$L$67,4,IF(ROUND($L$67,5)=$L$67,5,IF(ROUND($L$67,6)=$L$67,6,7)))))))),"?")</f>
        <v>0,2</v>
      </c>
    </row>
    <row r="69" ht="8" customHeight="1">
      <c r="K69" s="61" t="inlineStr">
        <is>
          <t>[Velocidade do escoamento] Q (arredondado)</t>
        </is>
      </c>
      <c r="L69" s="61">
        <f>IFERROR(ROUND($G$101,IF($G$101=0,0,4-INT(LOG10(ABS($G$101))))),"")</f>
        <v>0.05</v>
      </c>
    </row>
    <row r="70" ht="24" customHeight="1">
      <c r="B70" s="86" t="inlineStr">
        <is>
          <t>D · RESULTADO AUTOMÁTICO</t>
        </is>
      </c>
      <c r="C70" s="86" t="n"/>
      <c r="D70" s="86" t="n"/>
      <c r="E70" s="86" t="n"/>
      <c r="F70" s="86" t="n"/>
      <c r="G70" s="86" t="n"/>
      <c r="H70" s="86" t="n"/>
      <c r="K70" s="61" t="inlineStr">
        <is>
          <t>[Velocidade do escoamento] Q (texto)</t>
        </is>
      </c>
      <c r="L70" s="61" t="str">
        <f>IF(ISNUMBER($L$69),FIXED($L$69,IF(ROUND($L$69,0)=$L$69,0,IF(ROUND($L$69,1)=$L$69,1,IF(ROUND($L$69,2)=$L$69,2,IF(ROUND($L$69,3)=$L$69,3,IF(ROUND($L$69,4)=$L$69,4,IF(ROUND($L$69,5)=$L$69,5,IF(ROUND($L$69,6)=$L$69,6,7)))))))),"?")</f>
        <v>0,05</v>
      </c>
    </row>
    <row r="71" ht="22" customHeight="1">
      <c r="B71" s="87" t="inlineStr">
        <is>
          <t>VAZÃO EM m³/s</t>
        </is>
      </c>
      <c r="C71" s="87" t="n"/>
      <c r="D71" s="87" t="n"/>
      <c r="E71" s="88" t="inlineStr">
        <is>
          <t>OUTROS RESULTADOS</t>
        </is>
      </c>
      <c r="F71" s="88" t="n"/>
      <c r="G71" s="88" t="n"/>
      <c r="H71" s="88" t="n"/>
      <c r="K71" s="61" t="inlineStr">
        <is>
          <t>[Velocidade do escoamento] A (arredondado)</t>
        </is>
      </c>
      <c r="L71" s="61">
        <f>IFERROR(ROUND($L$61,IF($L$61=0,0,4-INT(LOG10(ABS($L$61))))),"")</f>
        <v>0.031416</v>
      </c>
    </row>
    <row r="72" ht="21" customHeight="1">
      <c r="B72" s="89">
        <f>IF($L$40,$L$36,"—")</f>
        <v>0.106028752058656</v>
      </c>
      <c r="C72" s="90" t="n"/>
      <c r="D72" s="91" t="inlineStr">
        <is>
          <t>m³/s</t>
        </is>
      </c>
      <c r="E72" s="92" t="inlineStr">
        <is>
          <t>Área da seção</t>
        </is>
      </c>
      <c r="F72" s="92" t="n"/>
      <c r="G72" s="93">
        <f>IF($L$40,$L$35,"—")</f>
        <v>0.0706858347057704</v>
      </c>
      <c r="H72" s="94" t="inlineStr">
        <is>
          <t>m²</t>
        </is>
      </c>
      <c r="K72" s="61" t="inlineStr">
        <is>
          <t>[Velocidade do escoamento] A (texto)</t>
        </is>
      </c>
      <c r="L72" s="61" t="str">
        <f>IF(ISNUMBER($L$71),FIXED($L$71,IF(ROUND($L$71,0)=$L$71,0,IF(ROUND($L$71,1)=$L$71,1,IF(ROUND($L$71,2)=$L$71,2,IF(ROUND($L$71,3)=$L$71,3,IF(ROUND($L$71,4)=$L$71,4,IF(ROUND($L$71,5)=$L$71,5,IF(ROUND($L$71,6)=$L$71,6,7)))))))),"?")</f>
        <v>0,031416</v>
      </c>
    </row>
    <row r="73" ht="21" customHeight="1">
      <c r="B73" s="90" t="n"/>
      <c r="C73" s="90" t="n"/>
      <c r="D73" s="91" t="n"/>
      <c r="E73" s="92" t="inlineStr">
        <is>
          <t>Vazão em L/s</t>
        </is>
      </c>
      <c r="F73" s="92" t="n"/>
      <c r="G73" s="93">
        <f>IF($L$40,$L$37,"—")</f>
        <v>106.028752058656</v>
      </c>
      <c r="H73" s="94" t="inlineStr">
        <is>
          <t>L/s</t>
        </is>
      </c>
      <c r="K73" s="61" t="inlineStr">
        <is>
          <t>[Velocidade do escoamento] Dm (arredondado)</t>
        </is>
      </c>
      <c r="L73" s="61">
        <f>IFERROR(ROUND($L$60,IF($L$60=0,0,4-INT(LOG10(ABS($L$60))))),"")</f>
        <v>0.2</v>
      </c>
    </row>
    <row r="74" ht="21" customHeight="1">
      <c r="B74" s="90" t="n"/>
      <c r="C74" s="90" t="n"/>
      <c r="D74" s="91" t="n"/>
      <c r="E74" s="92" t="inlineStr">
        <is>
          <t>Vazão em m³/h</t>
        </is>
      </c>
      <c r="F74" s="92" t="n"/>
      <c r="G74" s="93">
        <f>IF($L$40,$L$38,"—")</f>
        <v>381.70350741116</v>
      </c>
      <c r="H74" s="94" t="inlineStr">
        <is>
          <t>m³/h</t>
        </is>
      </c>
      <c r="K74" s="61" t="inlineStr">
        <is>
          <t>[Velocidade do escoamento] Dm (texto)</t>
        </is>
      </c>
      <c r="L74" s="61" t="str">
        <f>IF(ISNUMBER($L$73),FIXED($L$73,IF(ROUND($L$73,0)=$L$73,0,IF(ROUND($L$73,1)=$L$73,1,IF(ROUND($L$73,2)=$L$73,2,IF(ROUND($L$73,3)=$L$73,3,IF(ROUND($L$73,4)=$L$73,4,IF(ROUND($L$73,5)=$L$73,5,IF(ROUND($L$73,6)=$L$73,6,7)))))))),"?")</f>
        <v>0,2</v>
      </c>
    </row>
    <row r="75" ht="21" customHeight="1">
      <c r="B75" s="90" t="n"/>
      <c r="C75" s="90" t="n"/>
      <c r="D75" s="91" t="n"/>
      <c r="E75" s="95" t="n"/>
      <c r="F75" s="95" t="n"/>
      <c r="G75" s="95" t="n"/>
      <c r="H75" s="95" t="n"/>
      <c r="K75" s="61" t="inlineStr">
        <is>
          <t>[Velocidade do escoamento] Qs (arredondado)</t>
        </is>
      </c>
      <c r="L75" s="61">
        <f>IFERROR(ROUND($L$58,IF($L$58=0,0,4-INT(LOG10(ABS($L$58))))),"")</f>
        <v>0.05</v>
      </c>
    </row>
    <row r="76" ht="21" customHeight="1">
      <c r="B76" s="96" t="inlineStr">
        <is>
          <t>Interpretação</t>
        </is>
      </c>
      <c r="C76" s="97" t="str">
        <f>IF($L$40,"Pela seção de "&amp;$L$42&amp;" m² passam "&amp;$L$44&amp;" litros por segundo."&amp;IF(OR($G$68&lt;0.6,$G$68&gt;3)," Atenção: a velocidade informada está fora da faixa de referência usual em tubulações de água (cerca de 0,6 a 3 m/s). Confira o dado.",""),"Resultado indisponível: corrija o item indicado em Status dos dados.")</f>
        <v>Pela seção de 0,070686 m² passam 106,03 litros por segundo.</v>
      </c>
      <c r="D76" s="97" t="n"/>
      <c r="E76" s="97" t="n"/>
      <c r="F76" s="97" t="n"/>
      <c r="G76" s="97" t="n"/>
      <c r="H76" s="97" t="n"/>
      <c r="K76" s="61" t="inlineStr">
        <is>
          <t>[Velocidade do escoamento] Qs (texto)</t>
        </is>
      </c>
      <c r="L76" s="61" t="str">
        <f>IF(ISNUMBER($L$75),FIXED($L$75,IF(ROUND($L$75,0)=$L$75,0,IF(ROUND($L$75,1)=$L$75,1,IF(ROUND($L$75,2)=$L$75,2,IF(ROUND($L$75,3)=$L$75,3,IF(ROUND($L$75,4)=$L$75,4,IF(ROUND($L$75,5)=$L$75,5,IF(ROUND($L$75,6)=$L$75,6,7)))))))),"?")</f>
        <v>0,05</v>
      </c>
    </row>
    <row r="77" ht="21" customHeight="1">
      <c r="B77" s="96" t="inlineStr">
        <is>
          <t>Status dos dados</t>
        </is>
      </c>
      <c r="C77" s="98" t="str">
        <f>IF($L$40,"✔ Dados válidos. Resultado calculado automaticamente.","⚠ "&amp;$L$39)</f>
        <v>✔ Dados válidos. Resultado calculado automaticamente.</v>
      </c>
      <c r="D77" s="98" t="n"/>
      <c r="E77" s="98" t="n"/>
      <c r="F77" s="98" t="n"/>
      <c r="G77" s="98" t="n"/>
      <c r="H77" s="98" t="n"/>
      <c r="K77" s="61" t="inlineStr">
        <is>
          <t>[Velocidade do escoamento] resumo</t>
        </is>
      </c>
      <c r="L77" s="61" t="str">
        <f>IF($L$64,$L$66&amp;" "&amp;"m/s","—")</f>
        <v>1,5915 m/s</v>
      </c>
    </row>
    <row r="78" ht="10" customHeight="1">
      <c r="K78" s="61" t="inlineStr">
        <is>
          <t>índice do cenário (1, 2 ou 3)</t>
        </is>
      </c>
      <c r="L78" s="61">
        <f>IFERROR(MATCH($C$133,{"Exemplo 01","Exemplo 02","Meu cálculo"},0),0)</f>
        <v>1</v>
      </c>
    </row>
    <row r="79" ht="24" customHeight="1">
      <c r="B79" s="99" t="inlineStr">
        <is>
          <t>E · ENTENDA O CÁLCULO</t>
        </is>
      </c>
      <c r="C79" s="99" t="n"/>
      <c r="D79" s="99" t="n"/>
      <c r="E79" s="99" t="n"/>
      <c r="F79" s="99" t="n"/>
      <c r="G79" s="99" t="n"/>
      <c r="H79" s="99" t="n"/>
      <c r="K79" s="61" t="inlineStr">
        <is>
          <t>[Tempo de detenção (TDH)] fV</t>
        </is>
      </c>
      <c r="L79" s="61">
        <f>IFERROR(CHOOSE(MATCH($G$138,{"m³","L"},0),1,0.001),"")</f>
        <v>1</v>
      </c>
    </row>
    <row r="80" ht="26" customHeight="1">
      <c r="B80" s="64" t="inlineStr">
        <is>
          <t>Fórmula</t>
        </is>
      </c>
      <c r="C80" s="100" t="inlineStr">
        <is>
          <t>Q = A × v,   com   A = π × D² ÷ 4</t>
        </is>
      </c>
      <c r="D80" s="100" t="n"/>
      <c r="E80" s="100" t="n"/>
      <c r="F80" s="100" t="n"/>
      <c r="G80" s="100" t="n"/>
      <c r="H80" s="100" t="n"/>
      <c r="K80" s="61" t="inlineStr">
        <is>
          <t>[Tempo de detenção (TDH)] Vm</t>
        </is>
      </c>
      <c r="L80" s="61">
        <f>IFERROR($G$137*$L$79,"")</f>
        <v>500</v>
      </c>
    </row>
    <row r="81" ht="19" customHeight="1">
      <c r="B81" s="64" t="inlineStr">
        <is>
          <t>O que é cada variável</t>
        </is>
      </c>
      <c r="C81" s="25" t="inlineStr">
        <is>
          <t>Q = vazão   |   A = área interna da seção   |   D = diâmetro interno   |   v = velocidade média</t>
        </is>
      </c>
      <c r="D81" s="25" t="n"/>
      <c r="E81" s="25" t="n"/>
      <c r="F81" s="25" t="n"/>
      <c r="G81" s="25" t="n"/>
      <c r="H81" s="25" t="n"/>
      <c r="K81" s="61" t="inlineStr">
        <is>
          <t>[Tempo de detenção (TDH)] fQ</t>
        </is>
      </c>
      <c r="L81" s="61">
        <f>IFERROR(CHOOSE(MATCH($G$140,{"m³/s","L/s","m³/h","m³/dia"},0),1,0.001,1/3600,1/86400),"")</f>
        <v>0.000277777777777778</v>
      </c>
    </row>
    <row r="82" ht="21" customHeight="1">
      <c r="B82" s="64" t="inlineStr">
        <is>
          <t>Valores inseridos</t>
        </is>
      </c>
      <c r="C82" s="25" t="str">
        <f>"D = "&amp;$L$46&amp;" "&amp;$G$67&amp;"   |   "&amp;"v = "&amp;$L$48&amp;" "&amp;"m/s"</f>
        <v>D = 0,3 m   |   v = 1,5 m/s</v>
      </c>
      <c r="D82" s="25" t="n"/>
      <c r="E82" s="25" t="n"/>
      <c r="F82" s="25" t="n"/>
      <c r="G82" s="25" t="n"/>
      <c r="H82" s="25" t="n"/>
      <c r="K82" s="61" t="inlineStr">
        <is>
          <t>[Tempo de detenção (TDH)] Qh</t>
        </is>
      </c>
      <c r="L82" s="61">
        <f>IFERROR($G$139*$L$81*3600,"")</f>
        <v>50</v>
      </c>
    </row>
    <row r="83" ht="34" customHeight="1">
      <c r="B83" s="64" t="inlineStr">
        <is>
          <t>Substituição</t>
        </is>
      </c>
      <c r="C83" s="25" t="str">
        <f>IF($L$40,"D em metros = "&amp;$L$50&amp;" m."&amp;CHAR(10)&amp;"A = π × "&amp;$L$50&amp;"² ÷ 4 = "&amp;$L$42&amp;" m²   →   Q = "&amp;$L$42&amp;" × "&amp;$L$48&amp;" = "&amp;$L$52&amp;" m³/s","Aguardando dados válidos para montar a conta.")</f>
        <v>D em metros = 0,3 m.
A = π × 0,3² ÷ 4 = 0,070686 m²   →   Q = 0,070686 × 1,5 = 0,10603 m³/s</v>
      </c>
      <c r="D83" s="25" t="n"/>
      <c r="E83" s="25" t="n"/>
      <c r="F83" s="25" t="n"/>
      <c r="G83" s="25" t="n"/>
      <c r="H83" s="25" t="n"/>
      <c r="K83" s="61" t="inlineStr">
        <is>
          <t>[Tempo de detenção (TDH)] th</t>
        </is>
      </c>
      <c r="L83" s="61">
        <f>IFERROR($L$80/$L$82,"")</f>
        <v>10</v>
      </c>
    </row>
    <row r="84" ht="21" customHeight="1">
      <c r="B84" s="64" t="inlineStr">
        <is>
          <t>Resultado</t>
        </is>
      </c>
      <c r="C84" s="25" t="str">
        <f>IF($L$40,"Área = "&amp;$L$42&amp;" m²   |   Q = "&amp;$L$52&amp;" m³/s = "&amp;$L$44&amp;" L/s = "&amp;$L$54&amp;" m³/h","Aguardando dados válidos para montar a conta.")</f>
        <v>Área = 0,070686 m²   |   Q = 0,10603 m³/s = 106,03 L/s = 381,7 m³/h</v>
      </c>
      <c r="D84" s="25" t="n"/>
      <c r="E84" s="25" t="n"/>
      <c r="F84" s="25" t="n"/>
      <c r="G84" s="25" t="n"/>
      <c r="H84" s="25" t="n"/>
      <c r="K84" s="61" t="inlineStr">
        <is>
          <t>[Tempo de detenção (TDH)] tm</t>
        </is>
      </c>
      <c r="L84" s="61">
        <f>IFERROR($L$83*60,"")</f>
        <v>600</v>
      </c>
    </row>
    <row r="85" ht="10" customHeight="1">
      <c r="K85" s="61" t="inlineStr">
        <is>
          <t>[Tempo de detenção (TDH)] td</t>
        </is>
      </c>
      <c r="L85" s="61">
        <f>IFERROR($L$83/24,"")</f>
        <v>0.416666666666667</v>
      </c>
    </row>
    <row r="86" ht="24" customHeight="1">
      <c r="B86" s="99" t="inlineStr">
        <is>
          <t>F · EXEMPLO E ORIENTAÇÃO</t>
        </is>
      </c>
      <c r="C86" s="99" t="n"/>
      <c r="D86" s="99" t="n"/>
      <c r="E86" s="99" t="n"/>
      <c r="F86" s="99" t="n"/>
      <c r="G86" s="99" t="n"/>
      <c r="H86" s="99" t="n"/>
      <c r="K86" s="61" t="inlineStr">
        <is>
          <t>[Tempo de detenção (TDH)] mensagem de validação</t>
        </is>
      </c>
      <c r="L86" s="61" t="str">
        <f>IFERROR(IF($L$78=0,"Escolha um cenário na lista: Exemplo 01, Exemplo 02 ou Meu cálculo.",IF($G$137="","Informe o volume útil para continuar.",IF(NOT(ISNUMBER($G$137)),"O volume útil precisa ser um número. Confira o valor digitado.",IF($G$137&lt;=0,"O volume útil deve ser maior que zero.",IF($L$79="","Confira a unidade selecionada para o volume.",IF($G$139="","Informe a vazão para continuar.",IF(NOT(ISNUMBER($G$139)),"A vazão precisa ser um número. Confira o valor digitado.",IF($G$139&lt;=0,"A vazão deve ser maior que zero.",IF($L$81="","Confira a unidade selecionada para a vazão.",""))))))))),"Resultado indisponível: existem dados inválidos.")</f>
        <v/>
      </c>
    </row>
    <row r="87" ht="58" customHeight="1">
      <c r="B87" s="64" t="inlineStr">
        <is>
          <t>Exemplos desta ferramenta</t>
        </is>
      </c>
      <c r="C87" s="25" t="inlineStr">
        <is>
          <t>Exemplo 01: Uma adutora tem diâmetro interno de 0,30 m e a água escoa a 1,5 m/s. Qual é a vazão transportada?
Exemplo 02: Um tubo com 150 mm de diâmetro interno conduz esgoto tratado a 0,8 m/s. Qual é a vazão?
Escolha o exemplo na lista Cenário para ver a resolução completa.</t>
        </is>
      </c>
      <c r="D87" s="25" t="n"/>
      <c r="E87" s="25" t="n"/>
      <c r="F87" s="25" t="n"/>
      <c r="G87" s="25" t="n"/>
      <c r="H87" s="25" t="n"/>
      <c r="K87" s="61" t="inlineStr">
        <is>
          <t>[Tempo de detenção (TDH)] dados válidos?</t>
        </is>
      </c>
      <c r="L87" s="61" t="b">
        <f>$L$86=""</f>
        <v>1</v>
      </c>
    </row>
    <row r="88" ht="32" customHeight="1">
      <c r="B88" s="64" t="inlineStr">
        <is>
          <t>Como interpretar</t>
        </is>
      </c>
      <c r="C88" s="25" t="inlineStr">
        <is>
          <t>O resultado mostra quanto líquido o tubo transporta com aquela velocidade. Para levar mais vazão, aumente o diâmetro ou aceite uma velocidade maior.</t>
        </is>
      </c>
      <c r="D88" s="25" t="n"/>
      <c r="E88" s="25" t="n"/>
      <c r="F88" s="25" t="n"/>
      <c r="G88" s="25" t="n"/>
      <c r="H88" s="25" t="n"/>
      <c r="K88" s="61" t="inlineStr">
        <is>
          <t>[Tempo de detenção (TDH)] th (arredondado)</t>
        </is>
      </c>
      <c r="L88" s="61">
        <f>IFERROR(ROUND($L$83,IF($L$83=0,0,4-INT(LOG10(ABS($L$83))))),"")</f>
        <v>10</v>
      </c>
    </row>
    <row r="89" ht="32" customHeight="1">
      <c r="B89" s="101" t="inlineStr">
        <is>
          <t>⚠ Erro comum</t>
        </is>
      </c>
      <c r="C89" s="102" t="inlineStr">
        <is>
          <t>Usar o diâmetro em mm ou cm direto na fórmula, ou usar o raio no lugar do diâmetro. Converta para metros antes: 150 mm = 0,15 m.</t>
        </is>
      </c>
      <c r="D89" s="102" t="n"/>
      <c r="E89" s="102" t="n"/>
      <c r="F89" s="102" t="n"/>
      <c r="G89" s="102" t="n"/>
      <c r="H89" s="102" t="n"/>
      <c r="K89" s="61" t="inlineStr">
        <is>
          <t>[Tempo de detenção (TDH)] th (texto)</t>
        </is>
      </c>
      <c r="L89" s="61" t="str">
        <f>IF(ISNUMBER($L$88),FIXED($L$88,IF(ROUND($L$88,0)=$L$88,0,IF(ROUND($L$88,1)=$L$88,1,IF(ROUND($L$88,2)=$L$88,2,IF(ROUND($L$88,3)=$L$88,3,IF(ROUND($L$88,4)=$L$88,4,IF(ROUND($L$88,5)=$L$88,5,IF(ROUND($L$88,6)=$L$88,6,7)))))))),"?")</f>
        <v>10</v>
      </c>
    </row>
    <row r="90" ht="19" customHeight="1">
      <c r="B90" s="103" t="inlineStr">
        <is>
          <t>💡 Dica prática</t>
        </is>
      </c>
      <c r="C90" s="104" t="inlineStr">
        <is>
          <t>Use sempre o diâmetro interno. O diâmetro nominal (DN) do catálogo pode ser diferente do interno.</t>
        </is>
      </c>
      <c r="D90" s="104" t="n"/>
      <c r="E90" s="104" t="n"/>
      <c r="F90" s="104" t="n"/>
      <c r="G90" s="104" t="n"/>
      <c r="H90" s="104" t="n"/>
      <c r="K90" s="61" t="inlineStr">
        <is>
          <t>[Tempo de detenção (TDH)] tm (arredondado)</t>
        </is>
      </c>
      <c r="L90" s="61">
        <f>IFERROR(ROUND($L$84,IF($L$84=0,0,4-INT(LOG10(ABS($L$84))))),"")</f>
        <v>600</v>
      </c>
    </row>
    <row r="91" ht="14" customHeight="1">
      <c r="K91" s="61" t="inlineStr">
        <is>
          <t>[Tempo de detenção (TDH)] tm (texto)</t>
        </is>
      </c>
      <c r="L91" s="61" t="str">
        <f>IF(ISNUMBER($L$90),FIXED($L$90,IF(ROUND($L$90,0)=$L$90,0,IF(ROUND($L$90,1)=$L$90,1,IF(ROUND($L$90,2)=$L$90,2,IF(ROUND($L$90,3)=$L$90,3,IF(ROUND($L$90,4)=$L$90,4,IF(ROUND($L$90,5)=$L$90,5,IF(ROUND($L$90,6)=$L$90,6,7)))))))),"?")</f>
        <v>600</v>
      </c>
    </row>
    <row r="92" ht="14" customHeight="1">
      <c r="K92" s="61" t="inlineStr">
        <is>
          <t>[Tempo de detenção (TDH)] Q (arredondado)</t>
        </is>
      </c>
      <c r="L92" s="61">
        <f>IFERROR(ROUND($G$139,IF($G$139=0,0,4-INT(LOG10(ABS($G$139))))),"")</f>
        <v>50</v>
      </c>
    </row>
    <row r="93" ht="30" customHeight="1">
      <c r="B93" s="72" t="inlineStr">
        <is>
          <t>FERRAMENTA 3  ·  VELOCIDADE DO ESCOAMENTO</t>
        </is>
      </c>
      <c r="C93" s="72" t="n"/>
      <c r="D93" s="72" t="n"/>
      <c r="E93" s="72" t="n"/>
      <c r="F93" s="72" t="n"/>
      <c r="G93" s="72" t="n"/>
      <c r="H93" s="73" t="inlineStr">
        <is>
          <t>▲ Voltar ao topo</t>
        </is>
      </c>
      <c r="K93" s="61" t="inlineStr">
        <is>
          <t>[Tempo de detenção (TDH)] Q (texto)</t>
        </is>
      </c>
      <c r="L93" s="61" t="str">
        <f>IF(ISNUMBER($L$92),FIXED($L$92,IF(ROUND($L$92,0)=$L$92,0,IF(ROUND($L$92,1)=$L$92,1,IF(ROUND($L$92,2)=$L$92,2,IF(ROUND($L$92,3)=$L$92,3,IF(ROUND($L$92,4)=$L$92,4,IF(ROUND($L$92,5)=$L$92,5,IF(ROUND($L$92,6)=$L$92,6,7)))))))),"?")</f>
        <v>50</v>
      </c>
    </row>
    <row r="94" ht="19" customHeight="1">
      <c r="B94" s="74" t="inlineStr">
        <is>
          <t>Calcula a velocidade média do líquido dentro de um tubo circular a partir da vazão e do diâmetro interno.</t>
        </is>
      </c>
      <c r="C94" s="74" t="n"/>
      <c r="D94" s="74" t="n"/>
      <c r="E94" s="74" t="n"/>
      <c r="F94" s="74" t="n"/>
      <c r="G94" s="74" t="n"/>
      <c r="H94" s="74" t="n"/>
      <c r="K94" s="61" t="inlineStr">
        <is>
          <t>[Tempo de detenção (TDH)] V (arredondado)</t>
        </is>
      </c>
      <c r="L94" s="61">
        <f>IFERROR(ROUND($G$137,IF($G$137=0,0,4-INT(LOG10(ABS($G$137))))),"")</f>
        <v>500</v>
      </c>
    </row>
    <row r="95" ht="6" customHeight="1">
      <c r="K95" s="61" t="inlineStr">
        <is>
          <t>[Tempo de detenção (TDH)] V (texto)</t>
        </is>
      </c>
      <c r="L95" s="61" t="str">
        <f>IF(ISNUMBER($L$94),FIXED($L$94,IF(ROUND($L$94,0)=$L$94,0,IF(ROUND($L$94,1)=$L$94,1,IF(ROUND($L$94,2)=$L$94,2,IF(ROUND($L$94,3)=$L$94,3,IF(ROUND($L$94,4)=$L$94,4,IF(ROUND($L$94,5)=$L$94,5,IF(ROUND($L$94,6)=$L$94,6,7)))))))),"?")</f>
        <v>500</v>
      </c>
    </row>
    <row r="96" ht="20" customHeight="1">
      <c r="B96" s="75" t="inlineStr">
        <is>
          <t>B · ESCOLHA DO CENÁRIO</t>
        </is>
      </c>
      <c r="C96" s="75" t="n"/>
      <c r="D96" s="75" t="n"/>
      <c r="E96" s="75" t="n"/>
      <c r="F96" s="75" t="n"/>
      <c r="G96" s="75" t="n"/>
      <c r="H96" s="75" t="n"/>
      <c r="K96" s="61" t="inlineStr">
        <is>
          <t>[Tempo de detenção (TDH)] Qh (arredondado)</t>
        </is>
      </c>
      <c r="L96" s="61">
        <f>IFERROR(ROUND($L$82,IF($L$82=0,0,4-INT(LOG10(ABS($L$82))))),"")</f>
        <v>50</v>
      </c>
    </row>
    <row r="97" ht="30" customHeight="1">
      <c r="B97" s="47" t="inlineStr">
        <is>
          <t>Cenário  ▼</t>
        </is>
      </c>
      <c r="C97" s="76" t="inlineStr">
        <is>
          <t>Exemplo 01</t>
        </is>
      </c>
      <c r="D97" s="77" t="n"/>
      <c r="E97" s="68" t="inlineStr">
        <is>
          <t>Exemplo 01 e Exemplo 02 usam dados prontos. Meu cálculo usa os valores que você digitar na coluna amarela.</t>
        </is>
      </c>
      <c r="F97" s="68" t="n"/>
      <c r="G97" s="68" t="n"/>
      <c r="H97" s="68" t="n"/>
      <c r="K97" s="61" t="inlineStr">
        <is>
          <t>[Tempo de detenção (TDH)] Qh (texto)</t>
        </is>
      </c>
      <c r="L97" s="61" t="str">
        <f>IF(ISNUMBER($L$96),FIXED($L$96,IF(ROUND($L$96,0)=$L$96,0,IF(ROUND($L$96,1)=$L$96,1,IF(ROUND($L$96,2)=$L$96,2,IF(ROUND($L$96,3)=$L$96,3,IF(ROUND($L$96,4)=$L$96,4,IF(ROUND($L$96,5)=$L$96,5,IF(ROUND($L$96,6)=$L$96,6,7)))))))),"?")</f>
        <v>50</v>
      </c>
    </row>
    <row r="98" ht="6" customHeight="1">
      <c r="K98" s="61" t="inlineStr">
        <is>
          <t>[Tempo de detenção (TDH)] Vm (arredondado)</t>
        </is>
      </c>
      <c r="L98" s="61">
        <f>IFERROR(ROUND($L$80,IF($L$80=0,0,4-INT(LOG10(ABS($L$80))))),"")</f>
        <v>500</v>
      </c>
    </row>
    <row r="99" ht="20" customHeight="1">
      <c r="B99" s="75" t="inlineStr">
        <is>
          <t>C · DADOS DE ENTRADA</t>
        </is>
      </c>
      <c r="C99" s="75" t="n"/>
      <c r="D99" s="75" t="n"/>
      <c r="E99" s="75" t="n"/>
      <c r="F99" s="75" t="n"/>
      <c r="G99" s="75" t="n"/>
      <c r="H99" s="75" t="n"/>
      <c r="K99" s="61" t="inlineStr">
        <is>
          <t>[Tempo de detenção (TDH)] Vm (texto)</t>
        </is>
      </c>
      <c r="L99" s="61" t="str">
        <f>IF(ISNUMBER($L$98),FIXED($L$98,IF(ROUND($L$98,0)=$L$98,0,IF(ROUND($L$98,1)=$L$98,1,IF(ROUND($L$98,2)=$L$98,2,IF(ROUND($L$98,3)=$L$98,3,IF(ROUND($L$98,4)=$L$98,4,IF(ROUND($L$98,5)=$L$98,5,IF(ROUND($L$98,6)=$L$98,6,7)))))))),"?")</f>
        <v>500</v>
      </c>
    </row>
    <row r="100" ht="22" customHeight="1">
      <c r="B100" s="78" t="inlineStr">
        <is>
          <t>Variável</t>
        </is>
      </c>
      <c r="C100" s="78" t="inlineStr">
        <is>
          <t>Exemplo 01</t>
        </is>
      </c>
      <c r="D100" s="78" t="inlineStr">
        <is>
          <t>Exemplo 02</t>
        </is>
      </c>
      <c r="E100" s="79" t="inlineStr">
        <is>
          <t>MEU CÁLCULO</t>
        </is>
      </c>
      <c r="F100" s="78" t="inlineStr">
        <is>
          <t>Unidade</t>
        </is>
      </c>
      <c r="G100" s="80" t="inlineStr">
        <is>
          <t>Valor em uso</t>
        </is>
      </c>
      <c r="H100" s="78" t="inlineStr">
        <is>
          <t>Orientação de preenchimento</t>
        </is>
      </c>
      <c r="K100" s="61" t="inlineStr">
        <is>
          <t>[Tempo de detenção (TDH)] resumo</t>
        </is>
      </c>
      <c r="L100" s="61" t="str">
        <f>IF($L$87,$L$89&amp;" "&amp;"horas","—")</f>
        <v>10 horas</v>
      </c>
    </row>
    <row r="101" ht="22" customHeight="1">
      <c r="B101" s="47" t="inlineStr">
        <is>
          <t>Vazão</t>
        </is>
      </c>
      <c r="C101" s="81" t="n">
        <v>0.05</v>
      </c>
      <c r="D101" s="81" t="n">
        <v>20</v>
      </c>
      <c r="E101" s="82" t="n"/>
      <c r="F101" s="83" t="str">
        <f>$G$102</f>
        <v>m³/s</v>
      </c>
      <c r="G101" s="84">
        <f>IF($L$56=1,C101,IF($L$56=2,D101,IF($L$56=3,IF(E101="","",E101),"")))</f>
        <v>0.05</v>
      </c>
      <c r="H101" s="85" t="inlineStr">
        <is>
          <t>Vazão que passa pelo tubo. Ex.: 0,05</t>
        </is>
      </c>
    </row>
    <row r="102" ht="22" customHeight="1">
      <c r="B102" s="47" t="inlineStr">
        <is>
          <t>Unidade da vazão</t>
        </is>
      </c>
      <c r="C102" s="81" t="inlineStr">
        <is>
          <t>m³/s</t>
        </is>
      </c>
      <c r="D102" s="81" t="inlineStr">
        <is>
          <t>L/s</t>
        </is>
      </c>
      <c r="E102" s="82" t="inlineStr">
        <is>
          <t>m³/s</t>
        </is>
      </c>
      <c r="F102" s="83" t="inlineStr">
        <is>
          <t>lista ▼</t>
        </is>
      </c>
      <c r="G102" s="84" t="str">
        <f>IF($L$56=1,C102,IF($L$56=2,D102,IF($L$56=3,IF(E102="","",E102),"")))</f>
        <v>m³/s</v>
      </c>
      <c r="H102" s="85" t="inlineStr">
        <is>
          <t>Escolha m³/s, L/s, m³/h ou m³/dia.</t>
        </is>
      </c>
    </row>
    <row r="103" ht="22" customHeight="1">
      <c r="B103" s="47" t="inlineStr">
        <is>
          <t>Diâmetro interno</t>
        </is>
      </c>
      <c r="C103" s="81" t="n">
        <v>0.2</v>
      </c>
      <c r="D103" s="81" t="n">
        <v>100</v>
      </c>
      <c r="E103" s="82" t="n"/>
      <c r="F103" s="83" t="str">
        <f>$G$104</f>
        <v>m</v>
      </c>
      <c r="G103" s="84">
        <f>IF($L$56=1,C103,IF($L$56=2,D103,IF($L$56=3,IF(E103="","",E103),"")))</f>
        <v>0.2</v>
      </c>
      <c r="H103" s="85" t="inlineStr">
        <is>
          <t>Diâmetro interno do tubo. Ex.: 0,20</t>
        </is>
      </c>
    </row>
    <row r="104" ht="22" customHeight="1">
      <c r="B104" s="47" t="inlineStr">
        <is>
          <t>Unidade do diâmetro</t>
        </is>
      </c>
      <c r="C104" s="81" t="inlineStr">
        <is>
          <t>m</t>
        </is>
      </c>
      <c r="D104" s="81" t="inlineStr">
        <is>
          <t>mm</t>
        </is>
      </c>
      <c r="E104" s="82" t="inlineStr">
        <is>
          <t>m</t>
        </is>
      </c>
      <c r="F104" s="83" t="inlineStr">
        <is>
          <t>lista ▼</t>
        </is>
      </c>
      <c r="G104" s="84" t="str">
        <f>IF($L$56=1,C104,IF($L$56=2,D104,IF($L$56=3,IF(E104="","",E104),"")))</f>
        <v>m</v>
      </c>
      <c r="H104" s="85" t="inlineStr">
        <is>
          <t>Escolha m, cm, mm ou pol.</t>
        </is>
      </c>
    </row>
    <row r="105" ht="8" customHeight="1"/>
    <row r="106" ht="24" customHeight="1">
      <c r="B106" s="86" t="inlineStr">
        <is>
          <t>D · RESULTADO AUTOMÁTICO</t>
        </is>
      </c>
      <c r="C106" s="86" t="n"/>
      <c r="D106" s="86" t="n"/>
      <c r="E106" s="86" t="n"/>
      <c r="F106" s="86" t="n"/>
      <c r="G106" s="86" t="n"/>
      <c r="H106" s="86" t="n"/>
    </row>
    <row r="107" ht="22" customHeight="1">
      <c r="B107" s="87" t="inlineStr">
        <is>
          <t>VELOCIDADE MÉDIA</t>
        </is>
      </c>
      <c r="C107" s="87" t="n"/>
      <c r="D107" s="87" t="n"/>
      <c r="E107" s="88" t="inlineStr">
        <is>
          <t>OUTROS RESULTADOS</t>
        </is>
      </c>
      <c r="F107" s="88" t="n"/>
      <c r="G107" s="88" t="n"/>
      <c r="H107" s="88" t="n"/>
    </row>
    <row r="108" ht="21" customHeight="1">
      <c r="B108" s="89">
        <f>IF($L$64,$L$62,"—")</f>
        <v>1.59154943091895</v>
      </c>
      <c r="C108" s="90" t="n"/>
      <c r="D108" s="91" t="inlineStr">
        <is>
          <t>m/s</t>
        </is>
      </c>
      <c r="E108" s="92" t="inlineStr">
        <is>
          <t>Área da seção</t>
        </is>
      </c>
      <c r="F108" s="92" t="n"/>
      <c r="G108" s="93">
        <f>IF($L$64,$L$61,"—")</f>
        <v>0.0314159265358979</v>
      </c>
      <c r="H108" s="94" t="inlineStr">
        <is>
          <t>m²</t>
        </is>
      </c>
    </row>
    <row r="109" ht="21" customHeight="1">
      <c r="B109" s="90" t="n"/>
      <c r="C109" s="90" t="n"/>
      <c r="D109" s="91" t="n"/>
      <c r="E109" s="92" t="inlineStr">
        <is>
          <t>Vazão em m³/s</t>
        </is>
      </c>
      <c r="F109" s="92" t="n"/>
      <c r="G109" s="93">
        <f>IF($L$64,$L$58,"—")</f>
        <v>0.05</v>
      </c>
      <c r="H109" s="94" t="inlineStr">
        <is>
          <t>m³/s</t>
        </is>
      </c>
    </row>
    <row r="110" ht="21" customHeight="1">
      <c r="B110" s="90" t="n"/>
      <c r="C110" s="90" t="n"/>
      <c r="D110" s="91" t="n"/>
      <c r="E110" s="92" t="inlineStr">
        <is>
          <t>Diâmetro em metros</t>
        </is>
      </c>
      <c r="F110" s="92" t="n"/>
      <c r="G110" s="93">
        <f>IF($L$64,$L$60,"—")</f>
        <v>0.2</v>
      </c>
      <c r="H110" s="94" t="inlineStr">
        <is>
          <t>m</t>
        </is>
      </c>
    </row>
    <row r="111" ht="21" customHeight="1">
      <c r="B111" s="90" t="n"/>
      <c r="C111" s="90" t="n"/>
      <c r="D111" s="91" t="n"/>
      <c r="E111" s="95" t="n"/>
      <c r="F111" s="95" t="n"/>
      <c r="G111" s="95" t="n"/>
      <c r="H111" s="95" t="n"/>
    </row>
    <row r="112" ht="34" customHeight="1">
      <c r="B112" s="96" t="inlineStr">
        <is>
          <t>Interpretação</t>
        </is>
      </c>
      <c r="C112" s="97" t="str">
        <f>IF($L$64,"O líquido percorre "&amp;$L$66&amp;" metros a cada segundo dentro do tubo."&amp;IF($L$62&lt;0.6," A velocidade está abaixo de 0,6 m/s: valores baixos favorecem o depósito de sólidos.",IF($L$62&gt;3," A velocidade está acima de 3 m/s: valores altos aumentam a perda de carga e o risco de golpe de aríete."," A velocidade está dentro da faixa de referência usual (cerca de 0,6 a 3 m/s).")),"Resultado indisponível: corrija o item indicado em Status dos dados.")</f>
        <v>O líquido percorre 1,5915 metros a cada segundo dentro do tubo. A velocidade está dentro da faixa de referência usual (cerca de 0,6 a 3 m/s).</v>
      </c>
      <c r="D112" s="97" t="n"/>
      <c r="E112" s="97" t="n"/>
      <c r="F112" s="97" t="n"/>
      <c r="G112" s="97" t="n"/>
      <c r="H112" s="97" t="n"/>
    </row>
    <row r="113" ht="21" customHeight="1">
      <c r="B113" s="96" t="inlineStr">
        <is>
          <t>Status dos dados</t>
        </is>
      </c>
      <c r="C113" s="98" t="str">
        <f>IF($L$64,"✔ Dados válidos. Resultado calculado automaticamente.","⚠ "&amp;$L$63)</f>
        <v>✔ Dados válidos. Resultado calculado automaticamente.</v>
      </c>
      <c r="D113" s="98" t="n"/>
      <c r="E113" s="98" t="n"/>
      <c r="F113" s="98" t="n"/>
      <c r="G113" s="98" t="n"/>
      <c r="H113" s="98" t="n"/>
    </row>
    <row r="114" ht="10" customHeight="1"/>
    <row r="115" ht="24" customHeight="1">
      <c r="B115" s="99" t="inlineStr">
        <is>
          <t>E · ENTENDA O CÁLCULO</t>
        </is>
      </c>
      <c r="C115" s="99" t="n"/>
      <c r="D115" s="99" t="n"/>
      <c r="E115" s="99" t="n"/>
      <c r="F115" s="99" t="n"/>
      <c r="G115" s="99" t="n"/>
      <c r="H115" s="99" t="n"/>
    </row>
    <row r="116" ht="26" customHeight="1">
      <c r="B116" s="64" t="inlineStr">
        <is>
          <t>Fórmula</t>
        </is>
      </c>
      <c r="C116" s="100" t="inlineStr">
        <is>
          <t>v = Q ÷ A,   com   A = π × D² ÷ 4</t>
        </is>
      </c>
      <c r="D116" s="100" t="n"/>
      <c r="E116" s="100" t="n"/>
      <c r="F116" s="100" t="n"/>
      <c r="G116" s="100" t="n"/>
      <c r="H116" s="100" t="n"/>
    </row>
    <row r="117" ht="19" customHeight="1">
      <c r="B117" s="64" t="inlineStr">
        <is>
          <t>O que é cada variável</t>
        </is>
      </c>
      <c r="C117" s="25" t="inlineStr">
        <is>
          <t>v = velocidade média   |   Q = vazão   |   A = área interna da seção   |   D = diâmetro interno</t>
        </is>
      </c>
      <c r="D117" s="25" t="n"/>
      <c r="E117" s="25" t="n"/>
      <c r="F117" s="25" t="n"/>
      <c r="G117" s="25" t="n"/>
      <c r="H117" s="25" t="n"/>
    </row>
    <row r="118" ht="21" customHeight="1">
      <c r="B118" s="64" t="inlineStr">
        <is>
          <t>Valores inseridos</t>
        </is>
      </c>
      <c r="C118" s="25" t="str">
        <f>"Q = "&amp;$L$70&amp;" "&amp;$G$102&amp;"   |   "&amp;"D = "&amp;$L$68&amp;" "&amp;$G$104</f>
        <v>Q = 0,05 m³/s   |   D = 0,2 m</v>
      </c>
      <c r="D118" s="25" t="n"/>
      <c r="E118" s="25" t="n"/>
      <c r="F118" s="25" t="n"/>
      <c r="G118" s="25" t="n"/>
      <c r="H118" s="25" t="n"/>
    </row>
    <row r="119" ht="34" customHeight="1">
      <c r="B119" s="64" t="inlineStr">
        <is>
          <t>Substituição</t>
        </is>
      </c>
      <c r="C119" s="25" t="str">
        <f>IF($L$64,"Q = "&amp;$L$76&amp;" m³/s e D = "&amp;$L$74&amp;" m."&amp;CHAR(10)&amp;"A = π × "&amp;$L$74&amp;"² ÷ 4 = "&amp;$L$72&amp;" m²   →   v = "&amp;$L$76&amp;" ÷ "&amp;$L$72&amp;" = "&amp;$L$66&amp;" m/s","Aguardando dados válidos para montar a conta.")</f>
        <v>Q = 0,05 m³/s e D = 0,2 m.
A = π × 0,2² ÷ 4 = 0,031416 m²   →   v = 0,05 ÷ 0,031416 = 1,5915 m/s</v>
      </c>
      <c r="D119" s="25" t="n"/>
      <c r="E119" s="25" t="n"/>
      <c r="F119" s="25" t="n"/>
      <c r="G119" s="25" t="n"/>
      <c r="H119" s="25" t="n"/>
    </row>
    <row r="120" ht="21" customHeight="1">
      <c r="B120" s="64" t="inlineStr">
        <is>
          <t>Resultado</t>
        </is>
      </c>
      <c r="C120" s="25" t="str">
        <f>IF($L$64,"v = "&amp;$L$66&amp;" m/s","Aguardando dados válidos para montar a conta.")</f>
        <v>v = 1,5915 m/s</v>
      </c>
      <c r="D120" s="25" t="n"/>
      <c r="E120" s="25" t="n"/>
      <c r="F120" s="25" t="n"/>
      <c r="G120" s="25" t="n"/>
      <c r="H120" s="25" t="n"/>
    </row>
    <row r="121" ht="10" customHeight="1"/>
    <row r="122" ht="24" customHeight="1">
      <c r="B122" s="99" t="inlineStr">
        <is>
          <t>F · EXEMPLO E ORIENTAÇÃO</t>
        </is>
      </c>
      <c r="C122" s="99" t="n"/>
      <c r="D122" s="99" t="n"/>
      <c r="E122" s="99" t="n"/>
      <c r="F122" s="99" t="n"/>
      <c r="G122" s="99" t="n"/>
      <c r="H122" s="99" t="n"/>
    </row>
    <row r="123" ht="45" customHeight="1">
      <c r="B123" s="64" t="inlineStr">
        <is>
          <t>Exemplos desta ferramenta</t>
        </is>
      </c>
      <c r="C123" s="25" t="inlineStr">
        <is>
          <t>Exemplo 01: Uma tubulação de 0,20 m de diâmetro interno transporta 0,05 m³/s. Qual é a velocidade média?
Exemplo 02: Uma linha de recalque com 100 mm de diâmetro interno recebe 20 L/s. Qual é a velocidade?
Escolha o exemplo na lista Cenário para ver a resolução completa.</t>
        </is>
      </c>
      <c r="D123" s="25" t="n"/>
      <c r="E123" s="25" t="n"/>
      <c r="F123" s="25" t="n"/>
      <c r="G123" s="25" t="n"/>
      <c r="H123" s="25" t="n"/>
    </row>
    <row r="124" ht="32" customHeight="1">
      <c r="B124" s="64" t="inlineStr">
        <is>
          <t>Como interpretar</t>
        </is>
      </c>
      <c r="C124" s="25" t="inlineStr">
        <is>
          <t>A velocidade indica se o tubo está bem dimensionado. Muito baixa favorece depósitos; muito alta gasta mais energia e desgasta a tubulação.</t>
        </is>
      </c>
      <c r="D124" s="25" t="n"/>
      <c r="E124" s="25" t="n"/>
      <c r="F124" s="25" t="n"/>
      <c r="G124" s="25" t="n"/>
      <c r="H124" s="25" t="n"/>
    </row>
    <row r="125" ht="19" customHeight="1">
      <c r="B125" s="101" t="inlineStr">
        <is>
          <t>⚠ Erro comum</t>
        </is>
      </c>
      <c r="C125" s="102" t="inlineStr">
        <is>
          <t>Misturar unidades: vazão em L/s com área em m². Converta a vazão para m³/s antes de dividir.</t>
        </is>
      </c>
      <c r="D125" s="102" t="n"/>
      <c r="E125" s="102" t="n"/>
      <c r="F125" s="102" t="n"/>
      <c r="G125" s="102" t="n"/>
      <c r="H125" s="102" t="n"/>
    </row>
    <row r="126" ht="19" customHeight="1">
      <c r="B126" s="103" t="inlineStr">
        <is>
          <t>💡 Dica prática</t>
        </is>
      </c>
      <c r="C126" s="104" t="inlineStr">
        <is>
          <t>Se a velocidade ficar alta demais, teste um diâmetro maior e veja o resultado mudar na hora.</t>
        </is>
      </c>
      <c r="D126" s="104" t="n"/>
      <c r="E126" s="104" t="n"/>
      <c r="F126" s="104" t="n"/>
      <c r="G126" s="104" t="n"/>
      <c r="H126" s="104" t="n"/>
    </row>
    <row r="127" ht="14" customHeight="1"/>
    <row r="128" ht="14" customHeight="1"/>
    <row r="129" ht="30" customHeight="1">
      <c r="B129" s="72" t="inlineStr">
        <is>
          <t>FERRAMENTA 4  ·  TEMPO DE DETENÇÃO HIDRÁULICA (TDH)</t>
        </is>
      </c>
      <c r="C129" s="72" t="n"/>
      <c r="D129" s="72" t="n"/>
      <c r="E129" s="72" t="n"/>
      <c r="F129" s="72" t="n"/>
      <c r="G129" s="72" t="n"/>
      <c r="H129" s="73" t="inlineStr">
        <is>
          <t>▲ Voltar ao topo</t>
        </is>
      </c>
    </row>
    <row r="130" ht="19" customHeight="1">
      <c r="B130" s="74" t="inlineStr">
        <is>
          <t>Calcula quanto tempo, em média, o líquido permanece dentro de um tanque, reator ou lagoa.</t>
        </is>
      </c>
      <c r="C130" s="74" t="n"/>
      <c r="D130" s="74" t="n"/>
      <c r="E130" s="74" t="n"/>
      <c r="F130" s="74" t="n"/>
      <c r="G130" s="74" t="n"/>
      <c r="H130" s="74" t="n"/>
    </row>
    <row r="131" ht="6" customHeight="1"/>
    <row r="132" ht="20" customHeight="1">
      <c r="B132" s="75" t="inlineStr">
        <is>
          <t>B · ESCOLHA DO CENÁRIO</t>
        </is>
      </c>
      <c r="C132" s="75" t="n"/>
      <c r="D132" s="75" t="n"/>
      <c r="E132" s="75" t="n"/>
      <c r="F132" s="75" t="n"/>
      <c r="G132" s="75" t="n"/>
      <c r="H132" s="75" t="n"/>
    </row>
    <row r="133" ht="30" customHeight="1">
      <c r="B133" s="47" t="inlineStr">
        <is>
          <t>Cenário  ▼</t>
        </is>
      </c>
      <c r="C133" s="76" t="inlineStr">
        <is>
          <t>Exemplo 01</t>
        </is>
      </c>
      <c r="D133" s="77" t="n"/>
      <c r="E133" s="68" t="inlineStr">
        <is>
          <t>Exemplo 01 e Exemplo 02 usam dados prontos. Meu cálculo usa os valores que você digitar na coluna amarela.</t>
        </is>
      </c>
      <c r="F133" s="68" t="n"/>
      <c r="G133" s="68" t="n"/>
      <c r="H133" s="68" t="n"/>
    </row>
    <row r="134" ht="6" customHeight="1"/>
    <row r="135" ht="20" customHeight="1">
      <c r="B135" s="75" t="inlineStr">
        <is>
          <t>C · DADOS DE ENTRADA</t>
        </is>
      </c>
      <c r="C135" s="75" t="n"/>
      <c r="D135" s="75" t="n"/>
      <c r="E135" s="75" t="n"/>
      <c r="F135" s="75" t="n"/>
      <c r="G135" s="75" t="n"/>
      <c r="H135" s="75" t="n"/>
    </row>
    <row r="136" ht="22" customHeight="1">
      <c r="B136" s="78" t="inlineStr">
        <is>
          <t>Variável</t>
        </is>
      </c>
      <c r="C136" s="78" t="inlineStr">
        <is>
          <t>Exemplo 01</t>
        </is>
      </c>
      <c r="D136" s="78" t="inlineStr">
        <is>
          <t>Exemplo 02</t>
        </is>
      </c>
      <c r="E136" s="79" t="inlineStr">
        <is>
          <t>MEU CÁLCULO</t>
        </is>
      </c>
      <c r="F136" s="78" t="inlineStr">
        <is>
          <t>Unidade</t>
        </is>
      </c>
      <c r="G136" s="80" t="inlineStr">
        <is>
          <t>Valor em uso</t>
        </is>
      </c>
      <c r="H136" s="78" t="inlineStr">
        <is>
          <t>Orientação de preenchimento</t>
        </is>
      </c>
    </row>
    <row r="137" ht="29.4" customHeight="1">
      <c r="B137" s="47" t="inlineStr">
        <is>
          <t>Volume útil</t>
        </is>
      </c>
      <c r="C137" s="81" t="n">
        <v>500</v>
      </c>
      <c r="D137" s="81" t="n">
        <v>1200</v>
      </c>
      <c r="E137" s="82" t="n"/>
      <c r="F137" s="83" t="str">
        <f>$G$138</f>
        <v>m³</v>
      </c>
      <c r="G137" s="84">
        <f>IF($L$78=1,C137,IF($L$78=2,D137,IF($L$78=3,IF(E137="","",E137),"")))</f>
        <v>500</v>
      </c>
      <c r="H137" s="85" t="inlineStr">
        <is>
          <t>Volume ocupado pelo líquido na unidade. Ex.: 500</t>
        </is>
      </c>
    </row>
    <row r="138" ht="22" customHeight="1">
      <c r="B138" s="47" t="inlineStr">
        <is>
          <t>Unidade do volume</t>
        </is>
      </c>
      <c r="C138" s="81" t="inlineStr">
        <is>
          <t>m³</t>
        </is>
      </c>
      <c r="D138" s="81" t="inlineStr">
        <is>
          <t>m³</t>
        </is>
      </c>
      <c r="E138" s="82" t="inlineStr">
        <is>
          <t>m³</t>
        </is>
      </c>
      <c r="F138" s="83" t="inlineStr">
        <is>
          <t>lista ▼</t>
        </is>
      </c>
      <c r="G138" s="84" t="str">
        <f>IF($L$78=1,C138,IF($L$78=2,D138,IF($L$78=3,IF(E138="","",E138),"")))</f>
        <v>m³</v>
      </c>
      <c r="H138" s="85" t="inlineStr">
        <is>
          <t>Escolha m³ ou L.</t>
        </is>
      </c>
    </row>
    <row r="139" ht="22" customHeight="1">
      <c r="B139" s="47" t="inlineStr">
        <is>
          <t>Vazão de entrada</t>
        </is>
      </c>
      <c r="C139" s="81" t="n">
        <v>50</v>
      </c>
      <c r="D139" s="81" t="n">
        <v>4800</v>
      </c>
      <c r="E139" s="82" t="n"/>
      <c r="F139" s="83" t="str">
        <f>$G$140</f>
        <v>m³/h</v>
      </c>
      <c r="G139" s="84">
        <f>IF($L$78=1,C139,IF($L$78=2,D139,IF($L$78=3,IF(E139="","",E139),"")))</f>
        <v>50</v>
      </c>
      <c r="H139" s="85" t="inlineStr">
        <is>
          <t>Vazão que entra na unidade. Ex.: 50</t>
        </is>
      </c>
    </row>
    <row r="140" ht="22" customHeight="1">
      <c r="B140" s="47" t="inlineStr">
        <is>
          <t>Unidade da vazão</t>
        </is>
      </c>
      <c r="C140" s="81" t="inlineStr">
        <is>
          <t>m³/h</t>
        </is>
      </c>
      <c r="D140" s="81" t="inlineStr">
        <is>
          <t>m³/dia</t>
        </is>
      </c>
      <c r="E140" s="82" t="inlineStr">
        <is>
          <t>m³/h</t>
        </is>
      </c>
      <c r="F140" s="83" t="inlineStr">
        <is>
          <t>lista ▼</t>
        </is>
      </c>
      <c r="G140" s="84" t="str">
        <f>IF($L$78=1,C140,IF($L$78=2,D140,IF($L$78=3,IF(E140="","",E140),"")))</f>
        <v>m³/h</v>
      </c>
      <c r="H140" s="85" t="inlineStr">
        <is>
          <t>Escolha m³/s, L/s, m³/h ou m³/dia.</t>
        </is>
      </c>
    </row>
    <row r="141" ht="8" customHeight="1"/>
    <row r="142" ht="24" customHeight="1">
      <c r="B142" s="86" t="inlineStr">
        <is>
          <t>D · RESULTADO AUTOMÁTICO</t>
        </is>
      </c>
      <c r="C142" s="86" t="n"/>
      <c r="D142" s="86" t="n"/>
      <c r="E142" s="86" t="n"/>
      <c r="F142" s="86" t="n"/>
      <c r="G142" s="86" t="n"/>
      <c r="H142" s="86" t="n"/>
    </row>
    <row r="143" ht="22" customHeight="1">
      <c r="B143" s="87" t="inlineStr">
        <is>
          <t>TEMPO DE DETENÇÃO</t>
        </is>
      </c>
      <c r="C143" s="87" t="n"/>
      <c r="D143" s="87" t="n"/>
      <c r="E143" s="88" t="inlineStr">
        <is>
          <t>OUTROS RESULTADOS</t>
        </is>
      </c>
      <c r="F143" s="88" t="n"/>
      <c r="G143" s="88" t="n"/>
      <c r="H143" s="88" t="n"/>
    </row>
    <row r="144" ht="21" customHeight="1">
      <c r="B144" s="89">
        <f>IF($L$87,$L$83,"—")</f>
        <v>10</v>
      </c>
      <c r="C144" s="90" t="n"/>
      <c r="D144" s="91" t="inlineStr">
        <is>
          <t>horas</t>
        </is>
      </c>
      <c r="E144" s="92" t="inlineStr">
        <is>
          <t>Em minutos</t>
        </is>
      </c>
      <c r="F144" s="92" t="n"/>
      <c r="G144" s="93">
        <f>IF($L$87,$L$84,"—")</f>
        <v>600</v>
      </c>
      <c r="H144" s="94" t="inlineStr">
        <is>
          <t>min</t>
        </is>
      </c>
    </row>
    <row r="145" ht="21" customHeight="1">
      <c r="B145" s="90" t="n"/>
      <c r="C145" s="90" t="n"/>
      <c r="D145" s="91" t="n"/>
      <c r="E145" s="92" t="inlineStr">
        <is>
          <t>Em dias</t>
        </is>
      </c>
      <c r="F145" s="92" t="n"/>
      <c r="G145" s="93">
        <f>IF($L$87,$L$85,"—")</f>
        <v>0.416666666666667</v>
      </c>
      <c r="H145" s="94" t="inlineStr">
        <is>
          <t>dias</t>
        </is>
      </c>
    </row>
    <row r="146" ht="21" customHeight="1">
      <c r="B146" s="90" t="n"/>
      <c r="C146" s="90" t="n"/>
      <c r="D146" s="91" t="n"/>
      <c r="E146" s="95" t="n"/>
      <c r="F146" s="95" t="n"/>
      <c r="G146" s="95" t="n"/>
      <c r="H146" s="95" t="n"/>
    </row>
    <row r="147" ht="21" customHeight="1">
      <c r="B147" s="90" t="n"/>
      <c r="C147" s="90" t="n"/>
      <c r="D147" s="91" t="n"/>
      <c r="E147" s="95" t="n"/>
      <c r="F147" s="95" t="n"/>
      <c r="G147" s="95" t="n"/>
      <c r="H147" s="95" t="n"/>
    </row>
    <row r="148" ht="21" customHeight="1">
      <c r="B148" s="96" t="inlineStr">
        <is>
          <t>Interpretação</t>
        </is>
      </c>
      <c r="C148" s="97" t="str">
        <f>IF($L$87,"Em média, cada porção de líquido fica "&amp;$L$89&amp;" horas ("&amp;$L$91&amp;" minutos) dentro da unidade antes de sair.","Resultado indisponível: corrija o item indicado em Status dos dados.")</f>
        <v>Em média, cada porção de líquido fica 10 horas (600 minutos) dentro da unidade antes de sair.</v>
      </c>
      <c r="D148" s="97" t="n"/>
      <c r="E148" s="97" t="n"/>
      <c r="F148" s="97" t="n"/>
      <c r="G148" s="97" t="n"/>
      <c r="H148" s="97" t="n"/>
    </row>
    <row r="149" ht="21" customHeight="1">
      <c r="B149" s="96" t="inlineStr">
        <is>
          <t>Status dos dados</t>
        </is>
      </c>
      <c r="C149" s="98" t="str">
        <f>IF($L$87,"✔ Dados válidos. Resultado calculado automaticamente.","⚠ "&amp;$L$86)</f>
        <v>✔ Dados válidos. Resultado calculado automaticamente.</v>
      </c>
      <c r="D149" s="98" t="n"/>
      <c r="E149" s="98" t="n"/>
      <c r="F149" s="98" t="n"/>
      <c r="G149" s="98" t="n"/>
      <c r="H149" s="98" t="n"/>
    </row>
    <row r="150" ht="10" customHeight="1"/>
    <row r="151" ht="24" customHeight="1">
      <c r="B151" s="99" t="inlineStr">
        <is>
          <t>E · ENTENDA O CÁLCULO</t>
        </is>
      </c>
      <c r="C151" s="99" t="n"/>
      <c r="D151" s="99" t="n"/>
      <c r="E151" s="99" t="n"/>
      <c r="F151" s="99" t="n"/>
      <c r="G151" s="99" t="n"/>
      <c r="H151" s="99" t="n"/>
    </row>
    <row r="152" ht="26" customHeight="1">
      <c r="B152" s="64" t="inlineStr">
        <is>
          <t>Fórmula</t>
        </is>
      </c>
      <c r="C152" s="100" t="inlineStr">
        <is>
          <t>TDH = V ÷ Q</t>
        </is>
      </c>
      <c r="D152" s="100" t="n"/>
      <c r="E152" s="100" t="n"/>
      <c r="F152" s="100" t="n"/>
      <c r="G152" s="100" t="n"/>
      <c r="H152" s="100" t="n"/>
    </row>
    <row r="153" ht="19" customHeight="1">
      <c r="B153" s="64" t="inlineStr">
        <is>
          <t>O que é cada variável</t>
        </is>
      </c>
      <c r="C153" s="25" t="inlineStr">
        <is>
          <t>TDH = tempo de detenção hidráulica   |   V = volume útil   |   Q = vazão de entrada</t>
        </is>
      </c>
      <c r="D153" s="25" t="n"/>
      <c r="E153" s="25" t="n"/>
      <c r="F153" s="25" t="n"/>
      <c r="G153" s="25" t="n"/>
      <c r="H153" s="25" t="n"/>
    </row>
    <row r="154" ht="21" customHeight="1">
      <c r="B154" s="64" t="inlineStr">
        <is>
          <t>Valores inseridos</t>
        </is>
      </c>
      <c r="C154" s="25" t="str">
        <f>"V = "&amp;$L$95&amp;" "&amp;$G$138&amp;"   |   "&amp;"Q = "&amp;$L$93&amp;" "&amp;$G$140</f>
        <v>V = 500 m³   |   Q = 50 m³/h</v>
      </c>
      <c r="D154" s="25" t="n"/>
      <c r="E154" s="25" t="n"/>
      <c r="F154" s="25" t="n"/>
      <c r="G154" s="25" t="n"/>
      <c r="H154" s="25" t="n"/>
    </row>
    <row r="155" ht="34" customHeight="1">
      <c r="B155" s="64" t="inlineStr">
        <is>
          <t>Substituição</t>
        </is>
      </c>
      <c r="C155" s="25" t="str">
        <f>IF($L$87,"V = "&amp;$L$99&amp;" m³ e Q = "&amp;$L$97&amp;" m³/h."&amp;CHAR(10)&amp;"TDH = "&amp;$L$99&amp;" ÷ "&amp;$L$97&amp;" = "&amp;$L$89&amp;" h","Aguardando dados válidos para montar a conta.")</f>
        <v>V = 500 m³ e Q = 50 m³/h.
TDH = 500 ÷ 50 = 10 h</v>
      </c>
      <c r="D155" s="25" t="n"/>
      <c r="E155" s="25" t="n"/>
      <c r="F155" s="25" t="n"/>
      <c r="G155" s="25" t="n"/>
      <c r="H155" s="25" t="n"/>
    </row>
    <row r="156" ht="21" customHeight="1">
      <c r="B156" s="64" t="inlineStr">
        <is>
          <t>Resultado</t>
        </is>
      </c>
      <c r="C156" s="25" t="str">
        <f>IF($L$87,"TDH = "&amp;$L$89&amp;" h = "&amp;$L$91&amp;" min","Aguardando dados válidos para montar a conta.")</f>
        <v>TDH = 10 h = 600 min</v>
      </c>
      <c r="D156" s="25" t="n"/>
      <c r="E156" s="25" t="n"/>
      <c r="F156" s="25" t="n"/>
      <c r="G156" s="25" t="n"/>
      <c r="H156" s="25" t="n"/>
    </row>
    <row r="157" ht="10" customHeight="1"/>
    <row r="158" ht="24" customHeight="1">
      <c r="B158" s="99" t="inlineStr">
        <is>
          <t>F · EXEMPLO E ORIENTAÇÃO</t>
        </is>
      </c>
      <c r="C158" s="99" t="n"/>
      <c r="D158" s="99" t="n"/>
      <c r="E158" s="99" t="n"/>
      <c r="F158" s="99" t="n"/>
      <c r="G158" s="99" t="n"/>
      <c r="H158" s="99" t="n"/>
    </row>
    <row r="159" ht="58" customHeight="1">
      <c r="B159" s="64" t="inlineStr">
        <is>
          <t>Exemplos desta ferramenta</t>
        </is>
      </c>
      <c r="C159" s="25" t="inlineStr">
        <is>
          <t>Exemplo 01: Um tanque de equalização tem volume útil de 500 m³ e recebe 50 m³/h. Quanto tempo o efluente fica no tanque?
Exemplo 02: Uma lagoa com 1.200 m³ de volume útil recebe 4.800 m³/dia. Qual é o tempo de detenção?
Escolha o exemplo na lista Cenário para ver a resolução completa.</t>
        </is>
      </c>
      <c r="D159" s="25" t="n"/>
      <c r="E159" s="25" t="n"/>
      <c r="F159" s="25" t="n"/>
      <c r="G159" s="25" t="n"/>
      <c r="H159" s="25" t="n"/>
    </row>
    <row r="160" ht="32" customHeight="1">
      <c r="B160" s="64" t="inlineStr">
        <is>
          <t>Como interpretar</t>
        </is>
      </c>
      <c r="C160" s="25" t="inlineStr">
        <is>
          <t>O TDH é o tempo disponível para os processos acontecerem (decantação, reações, mistura). Compare com o valor recomendado para a unidade que você está estudando.</t>
        </is>
      </c>
      <c r="D160" s="25" t="n"/>
      <c r="E160" s="25" t="n"/>
      <c r="F160" s="25" t="n"/>
      <c r="G160" s="25" t="n"/>
      <c r="H160" s="25" t="n"/>
    </row>
    <row r="161" ht="19" customHeight="1">
      <c r="B161" s="101" t="inlineStr">
        <is>
          <t>⚠ Erro comum</t>
        </is>
      </c>
      <c r="C161" s="102" t="inlineStr">
        <is>
          <t>Usar o volume total do tanque. O cálculo usa o volume útil, ocupado de fato pelo líquido.</t>
        </is>
      </c>
      <c r="D161" s="102" t="n"/>
      <c r="E161" s="102" t="n"/>
      <c r="F161" s="102" t="n"/>
      <c r="G161" s="102" t="n"/>
      <c r="H161" s="102" t="n"/>
    </row>
    <row r="162" ht="19" customHeight="1">
      <c r="B162" s="103" t="inlineStr">
        <is>
          <t>💡 Dica prática</t>
        </is>
      </c>
      <c r="C162" s="104" t="inlineStr">
        <is>
          <t>Para descobrir o volume necessário, inverta a fórmula: V = TDH × Q.</t>
        </is>
      </c>
      <c r="D162" s="104" t="n"/>
      <c r="E162" s="104" t="n"/>
      <c r="F162" s="104" t="n"/>
      <c r="G162" s="104" t="n"/>
      <c r="H162" s="104" t="n"/>
    </row>
    <row r="163" ht="14" customHeight="1"/>
    <row r="164" ht="14" customHeight="1"/>
    <row r="165" ht="30" customHeight="1">
      <c r="B165" s="33" t="inlineStr">
        <is>
          <t>Lembrete: os resultados são cálculos teóricos de apoio ao estudo. Confira unidades e hipóteses antes de usar em trabalhos, relatórios ou no estágio.</t>
        </is>
      </c>
      <c r="C165" s="33" t="n"/>
      <c r="D165" s="33" t="n"/>
      <c r="E165" s="33" t="n"/>
      <c r="F165" s="33" t="n"/>
      <c r="G165" s="33" t="n"/>
      <c r="H165" s="3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32">
    <mergeCell ref="E145:F145"/>
    <mergeCell ref="C117:H117"/>
    <mergeCell ref="C55:H55"/>
    <mergeCell ref="C62:D62"/>
    <mergeCell ref="F18:H18"/>
    <mergeCell ref="C9:H9"/>
    <mergeCell ref="C118:H118"/>
    <mergeCell ref="B64:H64"/>
    <mergeCell ref="B51:H51"/>
    <mergeCell ref="E97:H97"/>
    <mergeCell ref="E73:F73"/>
    <mergeCell ref="C46:H46"/>
    <mergeCell ref="B35:H35"/>
    <mergeCell ref="C52:H52"/>
    <mergeCell ref="B106:H106"/>
    <mergeCell ref="B143:D143"/>
    <mergeCell ref="E62:H62"/>
    <mergeCell ref="C159:H159"/>
    <mergeCell ref="C48:H48"/>
    <mergeCell ref="B25:H25"/>
    <mergeCell ref="E71:H71"/>
    <mergeCell ref="C153:H153"/>
    <mergeCell ref="E111:H111"/>
    <mergeCell ref="B122:H122"/>
    <mergeCell ref="B108:C111"/>
    <mergeCell ref="C81:H81"/>
    <mergeCell ref="C125:H125"/>
    <mergeCell ref="C161:H161"/>
    <mergeCell ref="C13:H13"/>
    <mergeCell ref="C18:E18"/>
    <mergeCell ref="B2:H2"/>
    <mergeCell ref="C87:H87"/>
    <mergeCell ref="B130:H130"/>
    <mergeCell ref="C154:H154"/>
    <mergeCell ref="C15:H15"/>
    <mergeCell ref="B72:C75"/>
    <mergeCell ref="B22:G22"/>
    <mergeCell ref="C89:H89"/>
    <mergeCell ref="C116:H116"/>
    <mergeCell ref="B44:H44"/>
    <mergeCell ref="B132:H132"/>
    <mergeCell ref="D144:D147"/>
    <mergeCell ref="C88:H88"/>
    <mergeCell ref="C3:D3"/>
    <mergeCell ref="E3:F3"/>
    <mergeCell ref="E36:H36"/>
    <mergeCell ref="C10:H10"/>
    <mergeCell ref="C16:H16"/>
    <mergeCell ref="C41:H41"/>
    <mergeCell ref="B107:D107"/>
    <mergeCell ref="B158:H158"/>
    <mergeCell ref="C97:D97"/>
    <mergeCell ref="B142:H142"/>
    <mergeCell ref="E75:H75"/>
    <mergeCell ref="E38:F38"/>
    <mergeCell ref="B79:H79"/>
    <mergeCell ref="B135:H135"/>
    <mergeCell ref="K1:L1"/>
    <mergeCell ref="B7:H7"/>
    <mergeCell ref="C149:H149"/>
    <mergeCell ref="B36:D36"/>
    <mergeCell ref="D37:D40"/>
    <mergeCell ref="C19:H19"/>
    <mergeCell ref="B96:H96"/>
    <mergeCell ref="E147:H147"/>
    <mergeCell ref="C83:H83"/>
    <mergeCell ref="E110:F110"/>
    <mergeCell ref="E40:H40"/>
    <mergeCell ref="C14:H14"/>
    <mergeCell ref="B93:G93"/>
    <mergeCell ref="C162:H162"/>
    <mergeCell ref="B28:H28"/>
    <mergeCell ref="B99:H99"/>
    <mergeCell ref="E26:H26"/>
    <mergeCell ref="C54:H54"/>
    <mergeCell ref="C124:H124"/>
    <mergeCell ref="B5:H5"/>
    <mergeCell ref="E39:F39"/>
    <mergeCell ref="C90:H90"/>
    <mergeCell ref="C148:H148"/>
    <mergeCell ref="B94:H94"/>
    <mergeCell ref="B37:C40"/>
    <mergeCell ref="E146:H146"/>
    <mergeCell ref="C123:H123"/>
    <mergeCell ref="C76:H76"/>
    <mergeCell ref="C120:H120"/>
    <mergeCell ref="C119:H119"/>
    <mergeCell ref="C8:H8"/>
    <mergeCell ref="C133:D133"/>
    <mergeCell ref="B59:H59"/>
    <mergeCell ref="C82:H82"/>
    <mergeCell ref="E108:F108"/>
    <mergeCell ref="C155:H155"/>
    <mergeCell ref="C53:H53"/>
    <mergeCell ref="E107:H107"/>
    <mergeCell ref="B70:H70"/>
    <mergeCell ref="E143:H143"/>
    <mergeCell ref="B129:G129"/>
    <mergeCell ref="B23:H23"/>
    <mergeCell ref="E144:F144"/>
    <mergeCell ref="C160:H160"/>
    <mergeCell ref="E72:F72"/>
    <mergeCell ref="C45:H45"/>
    <mergeCell ref="B58:G58"/>
    <mergeCell ref="C113:H113"/>
    <mergeCell ref="C20:H20"/>
    <mergeCell ref="C112:H112"/>
    <mergeCell ref="C152:H152"/>
    <mergeCell ref="C47:H47"/>
    <mergeCell ref="C84:H84"/>
    <mergeCell ref="C80:H80"/>
    <mergeCell ref="D108:D111"/>
    <mergeCell ref="C26:D26"/>
    <mergeCell ref="D72:D75"/>
    <mergeCell ref="B165:H165"/>
    <mergeCell ref="E74:F74"/>
    <mergeCell ref="B115:H115"/>
    <mergeCell ref="B144:C147"/>
    <mergeCell ref="B12:H12"/>
    <mergeCell ref="B86:H86"/>
    <mergeCell ref="C49:H49"/>
    <mergeCell ref="B151:H151"/>
    <mergeCell ref="C77:H77"/>
    <mergeCell ref="B61:H61"/>
    <mergeCell ref="C42:H42"/>
    <mergeCell ref="C156:H156"/>
    <mergeCell ref="B1:H1"/>
    <mergeCell ref="B71:D71"/>
    <mergeCell ref="C126:H126"/>
    <mergeCell ref="E37:F37"/>
    <mergeCell ref="E133:H133"/>
    <mergeCell ref="E109:F109"/>
  </mergeCells>
  <conditionalFormatting sqref="B22:H22">
    <cfRule type="expression" priority="1" dxfId="0" stopIfTrue="0">
      <formula>$L$3=1</formula>
    </cfRule>
  </conditionalFormatting>
  <conditionalFormatting sqref="C30:C33">
    <cfRule type="expression" priority="2" dxfId="1" stopIfTrue="0">
      <formula>$L$4=1</formula>
    </cfRule>
  </conditionalFormatting>
  <conditionalFormatting sqref="D30:D33">
    <cfRule type="expression" priority="3" dxfId="1" stopIfTrue="0">
      <formula>$L$4=2</formula>
    </cfRule>
  </conditionalFormatting>
  <conditionalFormatting sqref="E30:E33">
    <cfRule type="expression" priority="4" dxfId="2" stopIfTrue="0">
      <formula>$L$4=3</formula>
    </cfRule>
  </conditionalFormatting>
  <conditionalFormatting sqref="B37:C40">
    <cfRule type="expression" priority="5" dxfId="3" stopIfTrue="0">
      <formula>NOT($L$14)</formula>
    </cfRule>
  </conditionalFormatting>
  <conditionalFormatting sqref="C42:H42">
    <cfRule type="expression" priority="6" dxfId="4" stopIfTrue="0">
      <formula>$L$14</formula>
    </cfRule>
    <cfRule type="expression" priority="7" dxfId="5" stopIfTrue="0">
      <formula>NOT($L$14)</formula>
    </cfRule>
  </conditionalFormatting>
  <conditionalFormatting sqref="B58:H58">
    <cfRule type="expression" priority="8" dxfId="0" stopIfTrue="0">
      <formula>$L$3=2</formula>
    </cfRule>
  </conditionalFormatting>
  <conditionalFormatting sqref="C66:C68">
    <cfRule type="expression" priority="9" dxfId="1" stopIfTrue="0">
      <formula>$L$32=1</formula>
    </cfRule>
  </conditionalFormatting>
  <conditionalFormatting sqref="D66:D68">
    <cfRule type="expression" priority="10" dxfId="1" stopIfTrue="0">
      <formula>$L$32=2</formula>
    </cfRule>
  </conditionalFormatting>
  <conditionalFormatting sqref="E66:E68">
    <cfRule type="expression" priority="11" dxfId="2" stopIfTrue="0">
      <formula>$L$32=3</formula>
    </cfRule>
  </conditionalFormatting>
  <conditionalFormatting sqref="B72:C75">
    <cfRule type="expression" priority="12" dxfId="3" stopIfTrue="0">
      <formula>NOT($L$40)</formula>
    </cfRule>
  </conditionalFormatting>
  <conditionalFormatting sqref="C77:H77">
    <cfRule type="expression" priority="13" dxfId="4" stopIfTrue="0">
      <formula>$L$40</formula>
    </cfRule>
    <cfRule type="expression" priority="14" dxfId="5" stopIfTrue="0">
      <formula>NOT($L$40)</formula>
    </cfRule>
  </conditionalFormatting>
  <conditionalFormatting sqref="B93:H93">
    <cfRule type="expression" priority="15" dxfId="0" stopIfTrue="0">
      <formula>$L$3=3</formula>
    </cfRule>
  </conditionalFormatting>
  <conditionalFormatting sqref="C101:C104">
    <cfRule type="expression" priority="16" dxfId="1" stopIfTrue="0">
      <formula>$L$56=1</formula>
    </cfRule>
  </conditionalFormatting>
  <conditionalFormatting sqref="D101:D104">
    <cfRule type="expression" priority="17" dxfId="1" stopIfTrue="0">
      <formula>$L$56=2</formula>
    </cfRule>
  </conditionalFormatting>
  <conditionalFormatting sqref="E101:E104">
    <cfRule type="expression" priority="18" dxfId="2" stopIfTrue="0">
      <formula>$L$56=3</formula>
    </cfRule>
  </conditionalFormatting>
  <conditionalFormatting sqref="B108:C111">
    <cfRule type="expression" priority="19" dxfId="3" stopIfTrue="0">
      <formula>NOT($L$64)</formula>
    </cfRule>
  </conditionalFormatting>
  <conditionalFormatting sqref="C113:H113">
    <cfRule type="expression" priority="20" dxfId="4" stopIfTrue="0">
      <formula>$L$64</formula>
    </cfRule>
    <cfRule type="expression" priority="21" dxfId="5" stopIfTrue="0">
      <formula>NOT($L$64)</formula>
    </cfRule>
  </conditionalFormatting>
  <conditionalFormatting sqref="B129:H129">
    <cfRule type="expression" priority="22" dxfId="0" stopIfTrue="0">
      <formula>$L$3=4</formula>
    </cfRule>
  </conditionalFormatting>
  <conditionalFormatting sqref="C137:C140">
    <cfRule type="expression" priority="23" dxfId="1" stopIfTrue="0">
      <formula>$L$78=1</formula>
    </cfRule>
  </conditionalFormatting>
  <conditionalFormatting sqref="D137:D140">
    <cfRule type="expression" priority="24" dxfId="1" stopIfTrue="0">
      <formula>$L$78=2</formula>
    </cfRule>
  </conditionalFormatting>
  <conditionalFormatting sqref="E137:E140">
    <cfRule type="expression" priority="25" dxfId="2" stopIfTrue="0">
      <formula>$L$78=3</formula>
    </cfRule>
  </conditionalFormatting>
  <conditionalFormatting sqref="B144:C147">
    <cfRule type="expression" priority="26" dxfId="3" stopIfTrue="0">
      <formula>NOT($L$87)</formula>
    </cfRule>
  </conditionalFormatting>
  <conditionalFormatting sqref="C149:H149">
    <cfRule type="expression" priority="27" dxfId="4" stopIfTrue="0">
      <formula>$L$87</formula>
    </cfRule>
    <cfRule type="expression" priority="28" dxfId="5" stopIfTrue="0">
      <formula>NOT($L$87)</formula>
    </cfRule>
  </conditionalFormatting>
  <conditionalFormatting sqref="C20:H20">
    <cfRule type="expression" priority="29" dxfId="4" stopIfTrue="0">
      <formula>IFERROR(CHOOSE($L$3,$L$14,$L$40,$L$64,$L$87),FALSE)</formula>
    </cfRule>
    <cfRule type="expression" priority="30" dxfId="5" stopIfTrue="0">
      <formula>NOT(IFERROR(CHOOSE($L$3,$L$14,$L$40,$L$64,$L$87),FALSE))</formula>
    </cfRule>
  </conditionalFormatting>
  <dataValidations count="20">
    <dataValidation sqref="C18" showDropDown="0" showInputMessage="1" showErrorMessage="1" allowBlank="1" errorTitle="Opção inválida" error="Escolha uma ferramenta da lista." promptTitle="Escolha a ferramenta" prompt="A ferramenta escolhida fica destacada em verde e o resultado dela aparece aqui ao lado." type="list">
      <formula1>"Ferramenta 1: Vazão por volume e tempo,Ferramenta 2: Vazão em tubulações,Ferramenta 3: Velocidade do escoamento,Ferramenta 4: Tempo de detenção (TDH)"</formula1>
    </dataValidation>
    <dataValidation sqref="C26" showDropDown="0" showInputMessage="1" showErrorMessage="1" allowBlank="1" errorTitle="Opção inválida" error="Escolha Exemplo 01, Exemplo 02 ou Meu cálculo." promptTitle="Escolha o cenário" prompt="Exemplo 01 e Exemplo 02 usam dados prontos. Meu cálculo usa os valores que você digitar na coluna amarela MEU CÁLCULO." type="list">
      <formula1>"Exemplo 01,Exemplo 02,Meu cálculo"</formula1>
    </dataValidation>
    <dataValidation sqref="E30" showDropDown="0" showInputMessage="1" showErrorMessage="1" allowBlank="1" errorTitle="Valor inválido" error="Digite um número maior ou igual a zero, sem a unidade. Use vírgula para decimais (ex.: 0,5)." promptTitle="Volume" prompt="Volume que passou, encheu ou esvaziou. Ex.: 360" type="decimal" operator="greaterThanOrEqual">
      <formula1>0</formula1>
    </dataValidation>
    <dataValidation sqref="E31" showDropDown="0" showInputMessage="1" showErrorMessage="1" allowBlank="1" errorTitle="Opção inválida" error="Escolha uma opção da lista." promptTitle="Unidade do volume" prompt="Escolha m³ ou L na lista." type="list">
      <formula1>"m³,L"</formula1>
    </dataValidation>
    <dataValidation sqref="E32" showDropDown="0" showInputMessage="1" showErrorMessage="1" allowBlank="1" errorTitle="Valor inválido" error="Digite um número maior ou igual a zero, sem a unidade. Use vírgula para decimais (ex.: 0,5)." promptTitle="Tempo" prompt="Tempo gasto para esse volume passar. Ex.: 2" type="decimal" operator="greaterThanOrEqual">
      <formula1>0</formula1>
    </dataValidation>
    <dataValidation sqref="E33" showDropDown="0" showInputMessage="1" showErrorMessage="1" allowBlank="1" errorTitle="Opção inválida" error="Escolha uma opção da lista." promptTitle="Unidade do tempo" prompt="Escolha s, min, h ou dia." type="list">
      <formula1>"s,min,h,dia"</formula1>
    </dataValidation>
    <dataValidation sqref="C62" showDropDown="0" showInputMessage="1" showErrorMessage="1" allowBlank="1" errorTitle="Opção inválida" error="Escolha Exemplo 01, Exemplo 02 ou Meu cálculo." promptTitle="Escolha o cenário" prompt="Exemplo 01 e Exemplo 02 usam dados prontos. Meu cálculo usa os valores que você digitar na coluna amarela MEU CÁLCULO." type="list">
      <formula1>"Exemplo 01,Exemplo 02,Meu cálculo"</formula1>
    </dataValidation>
    <dataValidation sqref="E66" showDropDown="0" showInputMessage="1" showErrorMessage="1" allowBlank="1" errorTitle="Valor inválido" error="Digite um número maior ou igual a zero, sem a unidade. Use vírgula para decimais (ex.: 0,5)." promptTitle="Diâmetro interno" prompt="Diâmetro interno do tubo (não use o raio). Ex.: 0,30" type="decimal" operator="greaterThanOrEqual">
      <formula1>0</formula1>
    </dataValidation>
    <dataValidation sqref="E67" showDropDown="0" showInputMessage="1" showErrorMessage="1" allowBlank="1" errorTitle="Opção inválida" error="Escolha uma opção da lista." promptTitle="Unidade do diâmetro" prompt="Escolha m, cm, mm ou pol." type="list">
      <formula1>"m,cm,mm,pol"</formula1>
    </dataValidation>
    <dataValidation sqref="E68" showDropDown="0" showInputMessage="1" showErrorMessage="1" allowBlank="1" errorTitle="Valor inválido" error="Digite um número maior ou igual a zero, sem a unidade. Use vírgula para decimais (ex.: 0,5)." promptTitle="Velocidade média" prompt="Velocidade média da água no tubo. Ex.: 1,5" type="decimal" operator="greaterThanOrEqual">
      <formula1>0</formula1>
    </dataValidation>
    <dataValidation sqref="C97" showDropDown="0" showInputMessage="1" showErrorMessage="1" allowBlank="1" errorTitle="Opção inválida" error="Escolha Exemplo 01, Exemplo 02 ou Meu cálculo." promptTitle="Escolha o cenário" prompt="Exemplo 01 e Exemplo 02 usam dados prontos. Meu cálculo usa os valores que você digitar na coluna amarela MEU CÁLCULO." type="list">
      <formula1>"Exemplo 01,Exemplo 02,Meu cálculo"</formula1>
    </dataValidation>
    <dataValidation sqref="E101" showDropDown="0" showInputMessage="1" showErrorMessage="1" allowBlank="1" errorTitle="Valor inválido" error="Digite um número maior ou igual a zero, sem a unidade. Use vírgula para decimais (ex.: 0,5)." promptTitle="Vazão" prompt="Vazão que passa pelo tubo. Ex.: 0,05" type="decimal" operator="greaterThanOrEqual">
      <formula1>0</formula1>
    </dataValidation>
    <dataValidation sqref="E102" showDropDown="0" showInputMessage="1" showErrorMessage="1" allowBlank="1" errorTitle="Opção inválida" error="Escolha uma opção da lista." promptTitle="Unidade da vazão" prompt="Escolha m³/s, L/s, m³/h ou m³/dia." type="list">
      <formula1>"m³/s,L/s,m³/h,m³/dia"</formula1>
    </dataValidation>
    <dataValidation sqref="E103" showDropDown="0" showInputMessage="1" showErrorMessage="1" allowBlank="1" errorTitle="Valor inválido" error="Digite um número maior ou igual a zero, sem a unidade. Use vírgula para decimais (ex.: 0,5)." promptTitle="Diâmetro interno" prompt="Diâmetro interno do tubo. Ex.: 0,20" type="decimal" operator="greaterThanOrEqual">
      <formula1>0</formula1>
    </dataValidation>
    <dataValidation sqref="E104" showDropDown="0" showInputMessage="1" showErrorMessage="1" allowBlank="1" errorTitle="Opção inválida" error="Escolha uma opção da lista." promptTitle="Unidade do diâmetro" prompt="Escolha m, cm, mm ou pol." type="list">
      <formula1>"m,cm,mm,pol"</formula1>
    </dataValidation>
    <dataValidation sqref="C133" showDropDown="0" showInputMessage="1" showErrorMessage="1" allowBlank="1" errorTitle="Opção inválida" error="Escolha Exemplo 01, Exemplo 02 ou Meu cálculo." promptTitle="Escolha o cenário" prompt="Exemplo 01 e Exemplo 02 usam dados prontos. Meu cálculo usa os valores que você digitar na coluna amarela MEU CÁLCULO." type="list">
      <formula1>"Exemplo 01,Exemplo 02,Meu cálculo"</formula1>
    </dataValidation>
    <dataValidation sqref="E137" showDropDown="0" showInputMessage="1" showErrorMessage="1" allowBlank="1" errorTitle="Valor inválido" error="Digite um número maior ou igual a zero, sem a unidade. Use vírgula para decimais (ex.: 0,5)." promptTitle="Volume útil" prompt="Volume ocupado pelo líquido na unidade. Ex.: 500" type="decimal" operator="greaterThanOrEqual">
      <formula1>0</formula1>
    </dataValidation>
    <dataValidation sqref="E138" showDropDown="0" showInputMessage="1" showErrorMessage="1" allowBlank="1" errorTitle="Opção inválida" error="Escolha uma opção da lista." promptTitle="Unidade do volume" prompt="Escolha m³ ou L." type="list">
      <formula1>"m³,L"</formula1>
    </dataValidation>
    <dataValidation sqref="E139" showDropDown="0" showInputMessage="1" showErrorMessage="1" allowBlank="1" errorTitle="Valor inválido" error="Digite um número maior ou igual a zero, sem a unidade. Use vírgula para decimais (ex.: 0,5)." promptTitle="Vazão de entrada" prompt="Vazão que entra na unidade. Ex.: 50" type="decimal" operator="greaterThanOrEqual">
      <formula1>0</formula1>
    </dataValidation>
    <dataValidation sqref="E140" showDropDown="0" showInputMessage="1" showErrorMessage="1" allowBlank="1" errorTitle="Opção inválida" error="Escolha uma opção da lista." promptTitle="Unidade da vazão" prompt="Escolha m³/s, L/s, m³/h ou m³/dia." type="list">
      <formula1>"m³/s,L/s,m³/h,m³/dia"</formula1>
    </dataValidation>
  </dataValidations>
  <hyperlinks>
    <hyperlink ref="B3" location="'00 — Painel Inicial'!A1" tooltip="Ir para 00 — Painel Inicial" display="🏠  Painel"/>
    <hyperlink ref="C3" location="'01 — Comece Aqui'!A1" tooltip="Ir para 01 — Comece Aqui" display="📘  Guia"/>
    <hyperlink ref="E3" location="'08 — Exemplos Resolvidos'!A1" tooltip="Ir para 08 — Exemplos Resolvidos" display="📚  Exemplos"/>
    <hyperlink ref="G3" location="'01 — Comece Aqui'!A1" tooltip="Ir para 01 — Comece Aqui" display="◀ Anterior"/>
    <hyperlink ref="H3" location="'03 — Carga Poluidora'!A1" tooltip="Ir para 03 — Carga Poluidora" display="Próxima aba ▶"/>
    <hyperlink ref="B13" location="'02 — Vazão e Hidráulica'!B22" tooltip="Ir para 02 — Vazão e Hidráulica" display="▶ Ferramenta 1"/>
    <hyperlink ref="B14" location="'02 — Vazão e Hidráulica'!B58" tooltip="Ir para 02 — Vazão e Hidráulica" display="▶ Ferramenta 2"/>
    <hyperlink ref="B15" location="'02 — Vazão e Hidráulica'!B93" tooltip="Ir para 02 — Vazão e Hidráulica" display="▶ Ferramenta 3"/>
    <hyperlink ref="B16" location="'02 — Vazão e Hidráulica'!B129" tooltip="Ir para 02 — Vazão e Hidráulica" display="▶ Ferramenta 4"/>
    <hyperlink ref="H22" location="'02 — Vazão e Hidráulica'!A1" tooltip="Ir para 02 — Vazão e Hidráulica" display="▲ Voltar ao topo"/>
    <hyperlink ref="H58" location="'02 — Vazão e Hidráulica'!A1" tooltip="Ir para 02 — Vazão e Hidráulica" display="▲ Voltar ao topo"/>
    <hyperlink ref="H93" location="'02 — Vazão e Hidráulica'!A1" tooltip="Ir para 02 — Vazão e Hidráulica" display="▲ Voltar ao topo"/>
    <hyperlink ref="H129" location="'02 — Vazão e Hidráulica'!A1" tooltip="Ir para 02 — Vazão e Hidráulica" display="▲ Voltar ao topo"/>
  </hyperlinks>
  <pageMargins left="0.4" right="0.4" top="0.5" bottom="0.5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L128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4" customWidth="1" min="5" max="5"/>
    <col width="10" customWidth="1" min="6" max="6"/>
    <col width="13" customWidth="1" min="7" max="7"/>
    <col width="36" customWidth="1" min="8" max="8"/>
    <col width="2" customWidth="1" min="9" max="9"/>
    <col width="4" customWidth="1" min="10" max="10"/>
    <col width="34" customWidth="1" min="11" max="11"/>
    <col width="18" customWidth="1" min="12" max="12"/>
  </cols>
  <sheetData>
    <row r="1" ht="40" customHeight="1">
      <c r="A1" s="105" t="n"/>
      <c r="B1" s="36" t="inlineStr">
        <is>
          <t>🏭  CALCULADORA 02  ·  CARGA POLUIDORA</t>
        </is>
      </c>
      <c r="C1" s="36" t="n"/>
      <c r="D1" s="36" t="n"/>
      <c r="E1" s="36" t="n"/>
      <c r="F1" s="36" t="n"/>
      <c r="G1" s="36" t="n"/>
      <c r="H1" s="36" t="n"/>
      <c r="I1" s="105" t="n"/>
      <c r="K1" s="57" t="inlineStr">
        <is>
          <t>ÁREA TÉCNICA · cálculos auxiliares (não editar)</t>
        </is>
      </c>
      <c r="L1" s="57" t="n"/>
    </row>
    <row r="2" ht="18" customHeight="1">
      <c r="A2" s="105" t="n"/>
      <c r="B2" s="37" t="inlineStr">
        <is>
          <t>KIT DE 6 CALCULADORAS AUTOMÁTICAS DE ENGENHARIA AMBIENTAL</t>
        </is>
      </c>
      <c r="C2" s="37" t="n"/>
      <c r="D2" s="37" t="n"/>
      <c r="E2" s="37" t="n"/>
      <c r="F2" s="37" t="n"/>
      <c r="G2" s="37" t="n"/>
      <c r="H2" s="37" t="n"/>
      <c r="I2" s="105" t="n"/>
      <c r="K2" s="58" t="inlineStr">
        <is>
          <t>Descrição</t>
        </is>
      </c>
      <c r="L2" s="59" t="inlineStr">
        <is>
          <t>Valor</t>
        </is>
      </c>
    </row>
    <row r="3" ht="26" customHeight="1">
      <c r="B3" s="38" t="inlineStr">
        <is>
          <t>🏠  Painel</t>
        </is>
      </c>
      <c r="C3" s="38" t="inlineStr">
        <is>
          <t>📘  Guia</t>
        </is>
      </c>
      <c r="D3" s="38" t="n"/>
      <c r="E3" s="38" t="inlineStr">
        <is>
          <t>📚  Exemplos</t>
        </is>
      </c>
      <c r="F3" s="38" t="n"/>
      <c r="G3" s="60" t="inlineStr">
        <is>
          <t>◀ Anterior</t>
        </is>
      </c>
      <c r="H3" s="60" t="inlineStr">
        <is>
          <t>Próxima aba ▶</t>
        </is>
      </c>
      <c r="K3" s="61" t="inlineStr">
        <is>
          <t>ferramenta escolhida (número)</t>
        </is>
      </c>
      <c r="L3" s="61">
        <f>IFERROR(MATCH($C$17,{"Ferramenta 1: Calcular carga","Ferramenta 2: Descobrir concentração","Ferramenta 3: Descobrir vazão"},0),0)</f>
        <v>1</v>
      </c>
    </row>
    <row r="4" ht="10" customHeight="1">
      <c r="K4" s="61" t="inlineStr">
        <is>
          <t>índice do cenário (1, 2 ou 3)</t>
        </is>
      </c>
      <c r="L4" s="61">
        <f>IFERROR(MATCH($C$25,{"Exemplo 01","Exemplo 02","Meu cálculo"},0),0)</f>
        <v>1</v>
      </c>
    </row>
    <row r="5" ht="32" customHeight="1">
      <c r="B5" s="62" t="inlineStr">
        <is>
          <t>COMO USAR:   ① Escolha a ferramenta abaixo   ② Escolha o cenário na lista amarela   ③ Para usar seus dados, escolha Meu cálculo e digite na coluna amarela   ④ Veja o resultado no card verde   ⑤ Confira a conta em ENTENDA O CÁLCULO</t>
        </is>
      </c>
      <c r="C5" s="62" t="n"/>
      <c r="D5" s="62" t="n"/>
      <c r="E5" s="62" t="n"/>
      <c r="F5" s="62" t="n"/>
      <c r="G5" s="62" t="n"/>
      <c r="H5" s="62" t="n"/>
      <c r="K5" s="61" t="inlineStr">
        <is>
          <t>[Calcular carga] fQ</t>
        </is>
      </c>
      <c r="L5" s="61">
        <f>IFERROR(CHOOSE(MATCH($G$31,{"m³/dia","m³/h","L/s"},0),1,24,86.4),"")</f>
        <v>1</v>
      </c>
    </row>
    <row r="6" ht="8" customHeight="1">
      <c r="K6" s="61" t="inlineStr">
        <is>
          <t>[Calcular carga] Qd</t>
        </is>
      </c>
      <c r="L6" s="61">
        <f>IFERROR($G$30*$L$5,"")</f>
        <v>400</v>
      </c>
    </row>
    <row r="7" ht="24" customHeight="1">
      <c r="B7" s="63" t="inlineStr">
        <is>
          <t>A · IDENTIFICAÇÃO</t>
        </is>
      </c>
      <c r="C7" s="63" t="n"/>
      <c r="D7" s="63" t="n"/>
      <c r="E7" s="63" t="n"/>
      <c r="F7" s="63" t="n"/>
      <c r="G7" s="63" t="n"/>
      <c r="H7" s="63" t="n"/>
      <c r="K7" s="61" t="inlineStr">
        <is>
          <t>[Calcular carga] kg</t>
        </is>
      </c>
      <c r="L7" s="61">
        <f>IFERROR($L$6*$G$32*0.001,"")</f>
        <v>72</v>
      </c>
    </row>
    <row r="8" ht="32" customHeight="1">
      <c r="B8" s="64" t="inlineStr">
        <is>
          <t>O que calcula</t>
        </is>
      </c>
      <c r="C8" s="25" t="inlineStr">
        <is>
          <t>A massa de poluente que uma corrente leva por dia (carga), a partir da vazão e da concentração. Também faz o caminho inverso.</t>
        </is>
      </c>
      <c r="D8" s="25" t="n"/>
      <c r="E8" s="25" t="n"/>
      <c r="F8" s="25" t="n"/>
      <c r="G8" s="25" t="n"/>
      <c r="H8" s="25" t="n"/>
      <c r="K8" s="61" t="inlineStr">
        <is>
          <t>[Calcular carga] g</t>
        </is>
      </c>
      <c r="L8" s="61">
        <f>IFERROR($L$7*1000,"")</f>
        <v>72000</v>
      </c>
    </row>
    <row r="9" ht="32" customHeight="1">
      <c r="B9" s="64" t="inlineStr">
        <is>
          <t>Quando usar</t>
        </is>
      </c>
      <c r="C9" s="25" t="inlineStr">
        <is>
          <t>Caracterização de efluentes, estudos de impacto em rios, comparação entre fontes, equivalente populacional e relatórios de monitoramento.</t>
        </is>
      </c>
      <c r="D9" s="25" t="n"/>
      <c r="E9" s="25" t="n"/>
      <c r="F9" s="25" t="n"/>
      <c r="G9" s="25" t="n"/>
      <c r="H9" s="25" t="n"/>
      <c r="K9" s="61" t="inlineStr">
        <is>
          <t>[Calcular carga] ano</t>
        </is>
      </c>
      <c r="L9" s="61">
        <f>IFERROR($L$7*365,"")</f>
        <v>26280</v>
      </c>
    </row>
    <row r="10" ht="19" customHeight="1">
      <c r="B10" s="64" t="inlineStr">
        <is>
          <t>Exemplo prático</t>
        </is>
      </c>
      <c r="C10" s="25" t="inlineStr">
        <is>
          <t>Um efluente de 400 m³/dia com DBO de 180 mg/L lança 72 kg de DBO por dia.</t>
        </is>
      </c>
      <c r="D10" s="25" t="n"/>
      <c r="E10" s="25" t="n"/>
      <c r="F10" s="25" t="n"/>
      <c r="G10" s="25" t="n"/>
      <c r="H10" s="25" t="n"/>
      <c r="K10" s="61" t="inlineStr">
        <is>
          <t>[Calcular carga] hab</t>
        </is>
      </c>
      <c r="L10" s="61">
        <f>IFERROR(ROUND($L$7*1000/54,0),"")</f>
        <v>1333</v>
      </c>
    </row>
    <row r="11" ht="10" customHeight="1">
      <c r="K11" s="61" t="inlineStr">
        <is>
          <t>[Calcular carga] mensagem de validação</t>
        </is>
      </c>
      <c r="L11" s="61" t="str">
        <f>IFERROR(IF($L$4=0,"Escolha um cenário na lista: Exemplo 01, Exemplo 02 ou Meu cálculo.",IF($L$5="","Confira a unidade selecionada para a vazão.",IF($G$30="","Informe a vazão para continuar.",IF(NOT(ISNUMBER($G$30)),"A vazão precisa ser um número. Confira o valor digitado.",IF($G$30&lt;=0,"A vazão deve ser maior que zero.",IF($G$32="","Informe a concentração para continuar (digite 0 se for o caso).",IF(NOT(ISNUMBER($G$32)),"A concentração precisa ser um número. Confira o valor digitado.",IF($G$32&lt;0,"A concentração não pode ser negativa.","")))))))),"Resultado indisponível: existem dados inválidos.")</f>
        <v/>
      </c>
    </row>
    <row r="12" ht="24" customHeight="1">
      <c r="B12" s="63" t="inlineStr">
        <is>
          <t>FERRAMENTAS DESTA CALCULADORA</t>
        </is>
      </c>
      <c r="C12" s="63" t="n"/>
      <c r="D12" s="63" t="n"/>
      <c r="E12" s="63" t="n"/>
      <c r="F12" s="63" t="n"/>
      <c r="G12" s="63" t="n"/>
      <c r="H12" s="63" t="n"/>
      <c r="K12" s="61" t="inlineStr">
        <is>
          <t>[Calcular carga] dados válidos?</t>
        </is>
      </c>
      <c r="L12" s="61" t="b">
        <f>$L$11=""</f>
        <v>1</v>
      </c>
    </row>
    <row r="13" ht="29.4" customHeight="1">
      <c r="B13" s="38" t="inlineStr">
        <is>
          <t>▶ Ferramenta 1</t>
        </is>
      </c>
      <c r="C13" s="65" t="inlineStr">
        <is>
          <t>Calcular carga poluidora: Calcula a massa de poluente transportada por dia a partir da vazão e da concentração. O parâmetro escolhido só identifica o cálculo; a fórmula é a mesma para todos.</t>
        </is>
      </c>
      <c r="D13" s="65" t="n"/>
      <c r="E13" s="65" t="n"/>
      <c r="F13" s="65" t="n"/>
      <c r="G13" s="65" t="n"/>
      <c r="H13" s="65" t="n"/>
      <c r="K13" s="61" t="inlineStr">
        <is>
          <t>[Calcular carga] hab (arredondado)</t>
        </is>
      </c>
      <c r="L13" s="61">
        <f>IFERROR(ROUND($L$10,IF($L$10=0,0,4-INT(LOG10(ABS($L$10))))),"")</f>
        <v>1333</v>
      </c>
    </row>
    <row r="14" ht="24" customHeight="1">
      <c r="B14" s="38" t="inlineStr">
        <is>
          <t>▶ Ferramenta 2</t>
        </is>
      </c>
      <c r="C14" s="65" t="inlineStr">
        <is>
          <t>Descobrir a concentração: Calcula a concentração média de um parâmetro quando você conhece a carga diária e a vazão.</t>
        </is>
      </c>
      <c r="D14" s="65" t="n"/>
      <c r="E14" s="65" t="n"/>
      <c r="F14" s="65" t="n"/>
      <c r="G14" s="65" t="n"/>
      <c r="H14" s="65" t="n"/>
      <c r="K14" s="61" t="inlineStr">
        <is>
          <t>[Calcular carga] hab (texto)</t>
        </is>
      </c>
      <c r="L14" s="61" t="str">
        <f>IF(ISNUMBER($L$13),FIXED($L$13,IF(ROUND($L$13,0)=$L$13,0,IF(ROUND($L$13,1)=$L$13,1,IF(ROUND($L$13,2)=$L$13,2,IF(ROUND($L$13,3)=$L$13,3,IF(ROUND($L$13,4)=$L$13,4,IF(ROUND($L$13,5)=$L$13,5,IF(ROUND($L$13,6)=$L$13,6,7)))))))),"?")</f>
        <v>1.333</v>
      </c>
    </row>
    <row r="15" ht="24" customHeight="1">
      <c r="B15" s="38" t="inlineStr">
        <is>
          <t>▶ Ferramenta 3</t>
        </is>
      </c>
      <c r="C15" s="65" t="inlineStr">
        <is>
          <t>Descobrir a vazão: Calcula a vazão que transporta uma carga conhecida com uma concentração conhecida.</t>
        </is>
      </c>
      <c r="D15" s="65" t="n"/>
      <c r="E15" s="65" t="n"/>
      <c r="F15" s="65" t="n"/>
      <c r="G15" s="65" t="n"/>
      <c r="H15" s="65" t="n"/>
      <c r="K15" s="61" t="inlineStr">
        <is>
          <t>[Calcular carga] kg (arredondado)</t>
        </is>
      </c>
      <c r="L15" s="61">
        <f>IFERROR(ROUND($L$7,IF($L$7=0,0,4-INT(LOG10(ABS($L$7))))),"")</f>
        <v>72</v>
      </c>
    </row>
    <row r="16" ht="6" customHeight="1">
      <c r="K16" s="61" t="inlineStr">
        <is>
          <t>[Calcular carga] kg (texto)</t>
        </is>
      </c>
      <c r="L16" s="61" t="str">
        <f>IF(ISNUMBER($L$15),FIXED($L$15,IF(ROUND($L$15,0)=$L$15,0,IF(ROUND($L$15,1)=$L$15,1,IF(ROUND($L$15,2)=$L$15,2,IF(ROUND($L$15,3)=$L$15,3,IF(ROUND($L$15,4)=$L$15,4,IF(ROUND($L$15,5)=$L$15,5,IF(ROUND($L$15,6)=$L$15,6,7)))))))),"?")</f>
        <v>72</v>
      </c>
    </row>
    <row r="17" ht="30" customHeight="1">
      <c r="B17" s="47" t="inlineStr">
        <is>
          <t>Ferramenta escolhida ▼</t>
        </is>
      </c>
      <c r="C17" s="66" t="inlineStr">
        <is>
          <t>Ferramenta 1: Calcular carga</t>
        </is>
      </c>
      <c r="D17" s="67" t="n"/>
      <c r="E17" s="67" t="n"/>
      <c r="F17" s="68" t="inlineStr">
        <is>
          <t>A ferramenta escolhida fica com o título em verde. Use os botões azuis acima para ir até ela.</t>
        </is>
      </c>
      <c r="G17" s="68" t="n"/>
      <c r="H17" s="68" t="n"/>
      <c r="K17" s="61" t="inlineStr">
        <is>
          <t>[Calcular carga] C (arredondado)</t>
        </is>
      </c>
      <c r="L17" s="61">
        <f>IFERROR(ROUND($G$32,IF($G$32=0,0,4-INT(LOG10(ABS($G$32))))),"")</f>
        <v>180</v>
      </c>
    </row>
    <row r="18" ht="28" customHeight="1">
      <c r="B18" s="69" t="inlineStr">
        <is>
          <t>Resultado atual</t>
        </is>
      </c>
      <c r="C18" s="70" t="str">
        <f>IFERROR(CHOOSE($L$3,$L$25,$L$42,$L$60),"—")</f>
        <v>72 kg/dia</v>
      </c>
      <c r="D18" s="70" t="n"/>
      <c r="E18" s="70" t="n"/>
      <c r="F18" s="70" t="n"/>
      <c r="G18" s="70" t="n"/>
      <c r="H18" s="70" t="n"/>
      <c r="K18" s="61" t="inlineStr">
        <is>
          <t>[Calcular carga] C (texto)</t>
        </is>
      </c>
      <c r="L18" s="61" t="str">
        <f>IF(ISNUMBER($L$17),FIXED($L$17,IF(ROUND($L$17,0)=$L$17,0,IF(ROUND($L$17,1)=$L$17,1,IF(ROUND($L$17,2)=$L$17,2,IF(ROUND($L$17,3)=$L$17,3,IF(ROUND($L$17,4)=$L$17,4,IF(ROUND($L$17,5)=$L$17,5,IF(ROUND($L$17,6)=$L$17,6,7)))))))),"?")</f>
        <v>180</v>
      </c>
    </row>
    <row r="19" ht="21" customHeight="1">
      <c r="B19" s="69" t="inlineStr">
        <is>
          <t>Status</t>
        </is>
      </c>
      <c r="C19" s="71" t="str">
        <f>IFERROR(CHOOSE($L$3,C41,C77,C112),"Escolha uma ferramenta.")</f>
        <v>✔ Dados válidos. Resultado calculado automaticamente.</v>
      </c>
      <c r="D19" s="71" t="n"/>
      <c r="E19" s="71" t="n"/>
      <c r="F19" s="71" t="n"/>
      <c r="G19" s="71" t="n"/>
      <c r="H19" s="71" t="n"/>
      <c r="K19" s="61" t="inlineStr">
        <is>
          <t>[Calcular carga] Q (arredondado)</t>
        </is>
      </c>
      <c r="L19" s="61">
        <f>IFERROR(ROUND($G$30,IF($G$30=0,0,4-INT(LOG10(ABS($G$30))))),"")</f>
        <v>400</v>
      </c>
    </row>
    <row r="20" ht="14" customHeight="1">
      <c r="K20" s="61" t="inlineStr">
        <is>
          <t>[Calcular carga] Q (texto)</t>
        </is>
      </c>
      <c r="L20" s="61" t="str">
        <f>IF(ISNUMBER($L$19),FIXED($L$19,IF(ROUND($L$19,0)=$L$19,0,IF(ROUND($L$19,1)=$L$19,1,IF(ROUND($L$19,2)=$L$19,2,IF(ROUND($L$19,3)=$L$19,3,IF(ROUND($L$19,4)=$L$19,4,IF(ROUND($L$19,5)=$L$19,5,IF(ROUND($L$19,6)=$L$19,6,7)))))))),"?")</f>
        <v>400</v>
      </c>
    </row>
    <row r="21" ht="30" customHeight="1">
      <c r="B21" s="72" t="inlineStr">
        <is>
          <t>FERRAMENTA 1  ·  CALCULAR CARGA POLUIDORA</t>
        </is>
      </c>
      <c r="C21" s="72" t="n"/>
      <c r="D21" s="72" t="n"/>
      <c r="E21" s="72" t="n"/>
      <c r="F21" s="72" t="n"/>
      <c r="G21" s="72" t="n"/>
      <c r="H21" s="73" t="inlineStr">
        <is>
          <t>▲ Voltar ao topo</t>
        </is>
      </c>
      <c r="K21" s="61" t="inlineStr">
        <is>
          <t>[Calcular carga] Qd (arredondado)</t>
        </is>
      </c>
      <c r="L21" s="61">
        <f>IFERROR(ROUND($L$6,IF($L$6=0,0,4-INT(LOG10(ABS($L$6))))),"")</f>
        <v>400</v>
      </c>
    </row>
    <row r="22" ht="32" customHeight="1">
      <c r="B22" s="74" t="inlineStr">
        <is>
          <t>Calcula a massa de poluente transportada por dia a partir da vazão e da concentração. O parâmetro escolhido só identifica o cálculo; a fórmula é a mesma para todos.</t>
        </is>
      </c>
      <c r="C22" s="74" t="n"/>
      <c r="D22" s="74" t="n"/>
      <c r="E22" s="74" t="n"/>
      <c r="F22" s="74" t="n"/>
      <c r="G22" s="74" t="n"/>
      <c r="H22" s="74" t="n"/>
      <c r="K22" s="61" t="inlineStr">
        <is>
          <t>[Calcular carga] Qd (texto)</t>
        </is>
      </c>
      <c r="L22" s="61" t="str">
        <f>IF(ISNUMBER($L$21),FIXED($L$21,IF(ROUND($L$21,0)=$L$21,0,IF(ROUND($L$21,1)=$L$21,1,IF(ROUND($L$21,2)=$L$21,2,IF(ROUND($L$21,3)=$L$21,3,IF(ROUND($L$21,4)=$L$21,4,IF(ROUND($L$21,5)=$L$21,5,IF(ROUND($L$21,6)=$L$21,6,7)))))))),"?")</f>
        <v>400</v>
      </c>
    </row>
    <row r="23" ht="6" customHeight="1">
      <c r="K23" s="61" t="inlineStr">
        <is>
          <t>[Calcular carga] g (arredondado)</t>
        </is>
      </c>
      <c r="L23" s="61">
        <f>IFERROR(ROUND($L$8,IF($L$8=0,0,4-INT(LOG10(ABS($L$8))))),"")</f>
        <v>72000</v>
      </c>
    </row>
    <row r="24" ht="20" customHeight="1">
      <c r="B24" s="75" t="inlineStr">
        <is>
          <t>B · ESCOLHA DO CENÁRIO</t>
        </is>
      </c>
      <c r="C24" s="75" t="n"/>
      <c r="D24" s="75" t="n"/>
      <c r="E24" s="75" t="n"/>
      <c r="F24" s="75" t="n"/>
      <c r="G24" s="75" t="n"/>
      <c r="H24" s="75" t="n"/>
      <c r="K24" s="61" t="inlineStr">
        <is>
          <t>[Calcular carga] g (texto)</t>
        </is>
      </c>
      <c r="L24" s="61" t="str">
        <f>IF(ISNUMBER($L$23),FIXED($L$23,IF(ROUND($L$23,0)=$L$23,0,IF(ROUND($L$23,1)=$L$23,1,IF(ROUND($L$23,2)=$L$23,2,IF(ROUND($L$23,3)=$L$23,3,IF(ROUND($L$23,4)=$L$23,4,IF(ROUND($L$23,5)=$L$23,5,IF(ROUND($L$23,6)=$L$23,6,7)))))))),"?")</f>
        <v>72.000</v>
      </c>
    </row>
    <row r="25" ht="30" customHeight="1">
      <c r="B25" s="47" t="inlineStr">
        <is>
          <t>Cenário  ▼</t>
        </is>
      </c>
      <c r="C25" s="76" t="inlineStr">
        <is>
          <t>Exemplo 01</t>
        </is>
      </c>
      <c r="D25" s="77" t="n"/>
      <c r="E25" s="68" t="inlineStr">
        <is>
          <t>Exemplo 01 e Exemplo 02 usam dados prontos. Meu cálculo usa os valores que você digitar na coluna amarela.</t>
        </is>
      </c>
      <c r="F25" s="68" t="n"/>
      <c r="G25" s="68" t="n"/>
      <c r="H25" s="68" t="n"/>
      <c r="K25" s="61" t="inlineStr">
        <is>
          <t>[Calcular carga] resumo</t>
        </is>
      </c>
      <c r="L25" s="61" t="str">
        <f>IF($L$12,$L$16&amp;" "&amp;"kg/dia","—")</f>
        <v>72 kg/dia</v>
      </c>
    </row>
    <row r="26" ht="6" customHeight="1">
      <c r="K26" s="61" t="inlineStr">
        <is>
          <t>índice do cenário (1, 2 ou 3)</t>
        </is>
      </c>
      <c r="L26" s="61">
        <f>IFERROR(MATCH($C$61,{"Exemplo 01","Exemplo 02","Meu cálculo"},0),0)</f>
        <v>1</v>
      </c>
    </row>
    <row r="27" ht="20" customHeight="1">
      <c r="B27" s="75" t="inlineStr">
        <is>
          <t>C · DADOS DE ENTRADA</t>
        </is>
      </c>
      <c r="C27" s="75" t="n"/>
      <c r="D27" s="75" t="n"/>
      <c r="E27" s="75" t="n"/>
      <c r="F27" s="75" t="n"/>
      <c r="G27" s="75" t="n"/>
      <c r="H27" s="75" t="n"/>
      <c r="K27" s="61" t="inlineStr">
        <is>
          <t>[Descobrir concentração] fQ</t>
        </is>
      </c>
      <c r="L27" s="61">
        <f>IFERROR(CHOOSE(MATCH($G$68,{"m³/dia","m³/h","L/s"},0),1,24,86.4),"")</f>
        <v>1</v>
      </c>
    </row>
    <row r="28" ht="22" customHeight="1">
      <c r="B28" s="78" t="inlineStr">
        <is>
          <t>Variável</t>
        </is>
      </c>
      <c r="C28" s="78" t="inlineStr">
        <is>
          <t>Exemplo 01</t>
        </is>
      </c>
      <c r="D28" s="78" t="inlineStr">
        <is>
          <t>Exemplo 02</t>
        </is>
      </c>
      <c r="E28" s="79" t="inlineStr">
        <is>
          <t>MEU CÁLCULO</t>
        </is>
      </c>
      <c r="F28" s="78" t="inlineStr">
        <is>
          <t>Unidade</t>
        </is>
      </c>
      <c r="G28" s="80" t="inlineStr">
        <is>
          <t>Valor em uso</t>
        </is>
      </c>
      <c r="H28" s="78" t="inlineStr">
        <is>
          <t>Orientação de preenchimento</t>
        </is>
      </c>
      <c r="K28" s="61" t="inlineStr">
        <is>
          <t>[Descobrir concentração] Qd</t>
        </is>
      </c>
      <c r="L28" s="61">
        <f>IFERROR($G$67*$L$27,"")</f>
        <v>400</v>
      </c>
    </row>
    <row r="29" ht="29.4" customHeight="1">
      <c r="B29" s="47" t="inlineStr">
        <is>
          <t>Parâmetro</t>
        </is>
      </c>
      <c r="C29" s="81" t="inlineStr">
        <is>
          <t>DBO</t>
        </is>
      </c>
      <c r="D29" s="81" t="inlineStr">
        <is>
          <t>SST</t>
        </is>
      </c>
      <c r="E29" s="82" t="inlineStr">
        <is>
          <t>DBO</t>
        </is>
      </c>
      <c r="F29" s="83" t="inlineStr">
        <is>
          <t>lista ▼</t>
        </is>
      </c>
      <c r="G29" s="84" t="str">
        <f>IF($L$4=1,C29,IF($L$4=2,D29,IF($L$4=3,IF(E29="","",E29),"")))</f>
        <v>DBO</v>
      </c>
      <c r="H29" s="85" t="inlineStr">
        <is>
          <t>Escolha o parâmetro (serve para identificar o resultado).</t>
        </is>
      </c>
      <c r="K29" s="61" t="inlineStr">
        <is>
          <t>[Descobrir concentração] Lg</t>
        </is>
      </c>
      <c r="L29" s="61">
        <f>IFERROR($G$66*1000,"")</f>
        <v>24000</v>
      </c>
    </row>
    <row r="30" ht="22" customHeight="1">
      <c r="B30" s="47" t="inlineStr">
        <is>
          <t>Vazão</t>
        </is>
      </c>
      <c r="C30" s="81" t="n">
        <v>400</v>
      </c>
      <c r="D30" s="81" t="n">
        <v>5</v>
      </c>
      <c r="E30" s="82" t="n"/>
      <c r="F30" s="83" t="str">
        <f>$G$31</f>
        <v>m³/dia</v>
      </c>
      <c r="G30" s="84">
        <f>IF($L$4=1,C30,IF($L$4=2,D30,IF($L$4=3,IF(E30="","",E30),"")))</f>
        <v>400</v>
      </c>
      <c r="H30" s="85" t="inlineStr">
        <is>
          <t>Vazão da corrente. Ex.: 400</t>
        </is>
      </c>
      <c r="K30" s="61" t="inlineStr">
        <is>
          <t>[Descobrir concentração] C</t>
        </is>
      </c>
      <c r="L30" s="61">
        <f>IFERROR($L$29/$L$28,"")</f>
        <v>60</v>
      </c>
    </row>
    <row r="31" ht="22" customHeight="1">
      <c r="B31" s="47" t="inlineStr">
        <is>
          <t>Unidade da vazão</t>
        </is>
      </c>
      <c r="C31" s="81" t="inlineStr">
        <is>
          <t>m³/dia</t>
        </is>
      </c>
      <c r="D31" s="81" t="inlineStr">
        <is>
          <t>L/s</t>
        </is>
      </c>
      <c r="E31" s="82" t="inlineStr">
        <is>
          <t>m³/dia</t>
        </is>
      </c>
      <c r="F31" s="83" t="inlineStr">
        <is>
          <t>lista ▼</t>
        </is>
      </c>
      <c r="G31" s="84" t="str">
        <f>IF($L$4=1,C31,IF($L$4=2,D31,IF($L$4=3,IF(E31="","",E31),"")))</f>
        <v>m³/dia</v>
      </c>
      <c r="H31" s="85" t="inlineStr">
        <is>
          <t>Escolha m³/dia, m³/h ou L/s.</t>
        </is>
      </c>
      <c r="K31" s="61" t="inlineStr">
        <is>
          <t>[Descobrir concentração] kgm3</t>
        </is>
      </c>
      <c r="L31" s="61">
        <f>IFERROR($L$30/1000,"")</f>
        <v>0.06</v>
      </c>
    </row>
    <row r="32" ht="22" customHeight="1">
      <c r="B32" s="47" t="inlineStr">
        <is>
          <t>Concentração</t>
        </is>
      </c>
      <c r="C32" s="81" t="n">
        <v>180</v>
      </c>
      <c r="D32" s="81" t="n">
        <v>250</v>
      </c>
      <c r="E32" s="82" t="n"/>
      <c r="F32" s="83" t="inlineStr">
        <is>
          <t>mg/L</t>
        </is>
      </c>
      <c r="G32" s="84">
        <f>IF($L$4=1,C32,IF($L$4=2,D32,IF($L$4=3,IF(E32="","",E32),"")))</f>
        <v>180</v>
      </c>
      <c r="H32" s="85" t="inlineStr">
        <is>
          <t>Concentração do parâmetro em mg/L. Ex.: 180</t>
        </is>
      </c>
      <c r="K32" s="61" t="inlineStr">
        <is>
          <t>[Descobrir concentração] mensagem de validação</t>
        </is>
      </c>
      <c r="L32" s="61" t="str">
        <f>IFERROR(IF($L$26=0,"Escolha um cenário na lista: Exemplo 01, Exemplo 02 ou Meu cálculo.",IF($G$66="","Informe a carga para continuar (digite 0 se for o caso).",IF(NOT(ISNUMBER($G$66)),"A carga precisa ser um número. Confira o valor digitado.",IF($G$66&lt;0,"A carga não pode ser negativa.",IF($L$27="","Confira a unidade selecionada para a vazão.",IF($G$67="","Informe a vazão para continuar.",IF(NOT(ISNUMBER($G$67)),"A vazão precisa ser um número. Confira o valor digitado.",IF($G$67&lt;=0,"A vazão deve ser maior que zero.","")))))))),"Resultado indisponível: existem dados inválidos.")</f>
        <v/>
      </c>
    </row>
    <row r="33" ht="8" customHeight="1">
      <c r="K33" s="61" t="inlineStr">
        <is>
          <t>[Descobrir concentração] dados válidos?</t>
        </is>
      </c>
      <c r="L33" s="61" t="b">
        <f>$L$32=""</f>
        <v>1</v>
      </c>
    </row>
    <row r="34" ht="24" customHeight="1">
      <c r="B34" s="86" t="inlineStr">
        <is>
          <t>D · RESULTADO AUTOMÁTICO</t>
        </is>
      </c>
      <c r="C34" s="86" t="n"/>
      <c r="D34" s="86" t="n"/>
      <c r="E34" s="86" t="n"/>
      <c r="F34" s="86" t="n"/>
      <c r="G34" s="86" t="n"/>
      <c r="H34" s="86" t="n"/>
      <c r="K34" s="61" t="inlineStr">
        <is>
          <t>[Descobrir concentração] C (arredondado)</t>
        </is>
      </c>
      <c r="L34" s="61">
        <f>IFERROR(ROUND($L$30,IF($L$30=0,0,4-INT(LOG10(ABS($L$30))))),"")</f>
        <v>60</v>
      </c>
    </row>
    <row r="35" ht="22" customHeight="1">
      <c r="B35" s="87" t="str">
        <f>"CARGA DE "&amp;UPPER($G$29)</f>
        <v>CARGA DE DBO</v>
      </c>
      <c r="C35" s="87" t="n"/>
      <c r="D35" s="87" t="n"/>
      <c r="E35" s="88" t="inlineStr">
        <is>
          <t>OUTROS RESULTADOS</t>
        </is>
      </c>
      <c r="F35" s="88" t="n"/>
      <c r="G35" s="88" t="n"/>
      <c r="H35" s="88" t="n"/>
      <c r="K35" s="61" t="inlineStr">
        <is>
          <t>[Descobrir concentração] C (texto)</t>
        </is>
      </c>
      <c r="L35" s="61" t="str">
        <f>IF(ISNUMBER($L$34),FIXED($L$34,IF(ROUND($L$34,0)=$L$34,0,IF(ROUND($L$34,1)=$L$34,1,IF(ROUND($L$34,2)=$L$34,2,IF(ROUND($L$34,3)=$L$34,3,IF(ROUND($L$34,4)=$L$34,4,IF(ROUND($L$34,5)=$L$34,5,IF(ROUND($L$34,6)=$L$34,6,7)))))))),"?")</f>
        <v>60</v>
      </c>
    </row>
    <row r="36" ht="21" customHeight="1">
      <c r="B36" s="89">
        <f>IF($L$12,$L$7,"—")</f>
        <v>72</v>
      </c>
      <c r="C36" s="90" t="n"/>
      <c r="D36" s="91" t="inlineStr">
        <is>
          <t>kg/dia</t>
        </is>
      </c>
      <c r="E36" s="92" t="inlineStr">
        <is>
          <t>Carga em g/dia</t>
        </is>
      </c>
      <c r="F36" s="92" t="n"/>
      <c r="G36" s="93">
        <f>IF($L$12,$L$8,"—")</f>
        <v>72000</v>
      </c>
      <c r="H36" s="94" t="inlineStr">
        <is>
          <t>g/dia</t>
        </is>
      </c>
      <c r="K36" s="61" t="inlineStr">
        <is>
          <t>[Descobrir concentração] L (arredondado)</t>
        </is>
      </c>
      <c r="L36" s="61">
        <f>IFERROR(ROUND($G$66,IF($G$66=0,0,4-INT(LOG10(ABS($G$66))))),"")</f>
        <v>24</v>
      </c>
    </row>
    <row r="37" ht="21" customHeight="1">
      <c r="B37" s="90" t="n"/>
      <c r="C37" s="90" t="n"/>
      <c r="D37" s="91" t="n"/>
      <c r="E37" s="92" t="inlineStr">
        <is>
          <t>Carga anual (365 dias)</t>
        </is>
      </c>
      <c r="F37" s="92" t="n"/>
      <c r="G37" s="93">
        <f>IF($L$12,$L$9,"—")</f>
        <v>26280</v>
      </c>
      <c r="H37" s="94" t="inlineStr">
        <is>
          <t>kg/ano</t>
        </is>
      </c>
      <c r="K37" s="61" t="inlineStr">
        <is>
          <t>[Descobrir concentração] L (texto)</t>
        </is>
      </c>
      <c r="L37" s="61" t="str">
        <f>IF(ISNUMBER($L$36),FIXED($L$36,IF(ROUND($L$36,0)=$L$36,0,IF(ROUND($L$36,1)=$L$36,1,IF(ROUND($L$36,2)=$L$36,2,IF(ROUND($L$36,3)=$L$36,3,IF(ROUND($L$36,4)=$L$36,4,IF(ROUND($L$36,5)=$L$36,5,IF(ROUND($L$36,6)=$L$36,6,7)))))))),"?")</f>
        <v>24</v>
      </c>
    </row>
    <row r="38" ht="21" customHeight="1">
      <c r="B38" s="90" t="n"/>
      <c r="C38" s="90" t="n"/>
      <c r="D38" s="91" t="n"/>
      <c r="E38" s="92" t="inlineStr">
        <is>
          <t>Vazão usada</t>
        </is>
      </c>
      <c r="F38" s="92" t="n"/>
      <c r="G38" s="93">
        <f>IF($L$12,$L$6,"—")</f>
        <v>400</v>
      </c>
      <c r="H38" s="94" t="inlineStr">
        <is>
          <t>m³/dia</t>
        </is>
      </c>
      <c r="K38" s="61" t="inlineStr">
        <is>
          <t>[Descobrir concentração] Q (arredondado)</t>
        </is>
      </c>
      <c r="L38" s="61">
        <f>IFERROR(ROUND($G$67,IF($G$67=0,0,4-INT(LOG10(ABS($G$67))))),"")</f>
        <v>400</v>
      </c>
    </row>
    <row r="39" ht="21" customHeight="1">
      <c r="B39" s="90" t="n"/>
      <c r="C39" s="90" t="n"/>
      <c r="D39" s="91" t="n"/>
      <c r="E39" s="95" t="n"/>
      <c r="F39" s="95" t="n"/>
      <c r="G39" s="95" t="n"/>
      <c r="H39" s="95" t="n"/>
      <c r="K39" s="61" t="inlineStr">
        <is>
          <t>[Descobrir concentração] Q (texto)</t>
        </is>
      </c>
      <c r="L39" s="61" t="str">
        <f>IF(ISNUMBER($L$38),FIXED($L$38,IF(ROUND($L$38,0)=$L$38,0,IF(ROUND($L$38,1)=$L$38,1,IF(ROUND($L$38,2)=$L$38,2,IF(ROUND($L$38,3)=$L$38,3,IF(ROUND($L$38,4)=$L$38,4,IF(ROUND($L$38,5)=$L$38,5,IF(ROUND($L$38,6)=$L$38,6,7)))))))),"?")</f>
        <v>400</v>
      </c>
    </row>
    <row r="40" ht="34" customHeight="1">
      <c r="B40" s="96" t="inlineStr">
        <is>
          <t>Interpretação</t>
        </is>
      </c>
      <c r="C40" s="97" t="str">
        <f>IF($L$12,"Por dia, a corrente transporta "&amp;$L$16&amp;" kg de "&amp;$G$29&amp;". Essa é a massa que chega ao destino em 24 horas."&amp;IF($G$29="DBO"," Isso equivale ao esgoto de aproximadamente "&amp;$L$14&amp;" pessoas (referência usual de 54 g de DBO por habitante por dia).",""),"Resultado indisponível: corrija o item indicado em Status dos dados.")</f>
        <v>Por dia, a corrente transporta 72 kg de DBO. Essa é a massa que chega ao destino em 24 horas. Isso equivale ao esgoto de aproximadamente 1.333 pessoas (referência usual de 54 g de DBO por habitante por dia).</v>
      </c>
      <c r="D40" s="97" t="n"/>
      <c r="E40" s="97" t="n"/>
      <c r="F40" s="97" t="n"/>
      <c r="G40" s="97" t="n"/>
      <c r="H40" s="97" t="n"/>
      <c r="K40" s="61" t="inlineStr">
        <is>
          <t>[Descobrir concentração] Qd (arredondado)</t>
        </is>
      </c>
      <c r="L40" s="61">
        <f>IFERROR(ROUND($L$28,IF($L$28=0,0,4-INT(LOG10(ABS($L$28))))),"")</f>
        <v>400</v>
      </c>
    </row>
    <row r="41" ht="21" customHeight="1">
      <c r="B41" s="96" t="inlineStr">
        <is>
          <t>Status dos dados</t>
        </is>
      </c>
      <c r="C41" s="98" t="str">
        <f>IF($L$12,"✔ Dados válidos. Resultado calculado automaticamente.","⚠ "&amp;$L$11)</f>
        <v>✔ Dados válidos. Resultado calculado automaticamente.</v>
      </c>
      <c r="D41" s="98" t="n"/>
      <c r="E41" s="98" t="n"/>
      <c r="F41" s="98" t="n"/>
      <c r="G41" s="98" t="n"/>
      <c r="H41" s="98" t="n"/>
      <c r="K41" s="61" t="inlineStr">
        <is>
          <t>[Descobrir concentração] Qd (texto)</t>
        </is>
      </c>
      <c r="L41" s="61" t="str">
        <f>IF(ISNUMBER($L$40),FIXED($L$40,IF(ROUND($L$40,0)=$L$40,0,IF(ROUND($L$40,1)=$L$40,1,IF(ROUND($L$40,2)=$L$40,2,IF(ROUND($L$40,3)=$L$40,3,IF(ROUND($L$40,4)=$L$40,4,IF(ROUND($L$40,5)=$L$40,5,IF(ROUND($L$40,6)=$L$40,6,7)))))))),"?")</f>
        <v>400</v>
      </c>
    </row>
    <row r="42" ht="10" customHeight="1">
      <c r="K42" s="61" t="inlineStr">
        <is>
          <t>[Descobrir concentração] resumo</t>
        </is>
      </c>
      <c r="L42" s="61" t="str">
        <f>IF($L$33,$L$35&amp;" "&amp;"mg/L","—")</f>
        <v>60 mg/L</v>
      </c>
    </row>
    <row r="43" ht="24" customHeight="1">
      <c r="B43" s="99" t="inlineStr">
        <is>
          <t>E · ENTENDA O CÁLCULO</t>
        </is>
      </c>
      <c r="C43" s="99" t="n"/>
      <c r="D43" s="99" t="n"/>
      <c r="E43" s="99" t="n"/>
      <c r="F43" s="99" t="n"/>
      <c r="G43" s="99" t="n"/>
      <c r="H43" s="99" t="n"/>
      <c r="K43" s="61" t="inlineStr">
        <is>
          <t>índice do cenário (1, 2 ou 3)</t>
        </is>
      </c>
      <c r="L43" s="61">
        <f>IFERROR(MATCH($C$97,{"Exemplo 01","Exemplo 02","Meu cálculo"},0),0)</f>
        <v>1</v>
      </c>
    </row>
    <row r="44" ht="26" customHeight="1">
      <c r="B44" s="64" t="inlineStr">
        <is>
          <t>Fórmula</t>
        </is>
      </c>
      <c r="C44" s="100" t="inlineStr">
        <is>
          <t>Carga (kg/dia) = Q (m³/dia) × C (mg/L) × 0,001</t>
        </is>
      </c>
      <c r="D44" s="100" t="n"/>
      <c r="E44" s="100" t="n"/>
      <c r="F44" s="100" t="n"/>
      <c r="G44" s="100" t="n"/>
      <c r="H44" s="100" t="n"/>
      <c r="K44" s="61" t="inlineStr">
        <is>
          <t>[Descobrir vazão] Lg</t>
        </is>
      </c>
      <c r="L44" s="61">
        <f>IFERROR($G$102*1000,"")</f>
        <v>72000</v>
      </c>
    </row>
    <row r="45" ht="19" customHeight="1">
      <c r="B45" s="64" t="inlineStr">
        <is>
          <t>O que é cada variável</t>
        </is>
      </c>
      <c r="C45" s="25" t="inlineStr">
        <is>
          <t>Q = vazão em m³/dia   |   C = concentração em mg/L   |   0,001 = converte g em kg (1 mg/L = 1 g/m³)</t>
        </is>
      </c>
      <c r="D45" s="25" t="n"/>
      <c r="E45" s="25" t="n"/>
      <c r="F45" s="25" t="n"/>
      <c r="G45" s="25" t="n"/>
      <c r="H45" s="25" t="n"/>
      <c r="K45" s="61" t="inlineStr">
        <is>
          <t>[Descobrir vazão] Qd</t>
        </is>
      </c>
      <c r="L45" s="61">
        <f>IFERROR($L$44/$G$103,"")</f>
        <v>400</v>
      </c>
    </row>
    <row r="46" ht="21" customHeight="1">
      <c r="B46" s="64" t="inlineStr">
        <is>
          <t>Valores inseridos</t>
        </is>
      </c>
      <c r="C46" s="25" t="str">
        <f>"Parâmetro: "&amp;$G$29&amp;"   |   "&amp;"Q = "&amp;$L$20&amp;" "&amp;$G$31&amp;"   |   "&amp;"C = "&amp;$L$18&amp;" "&amp;"mg/L"</f>
        <v>Parâmetro: DBO   |   Q = 400 m³/dia   |   C = 180 mg/L</v>
      </c>
      <c r="D46" s="25" t="n"/>
      <c r="E46" s="25" t="n"/>
      <c r="F46" s="25" t="n"/>
      <c r="G46" s="25" t="n"/>
      <c r="H46" s="25" t="n"/>
      <c r="K46" s="61" t="inlineStr">
        <is>
          <t>[Descobrir vazão] Qh</t>
        </is>
      </c>
      <c r="L46" s="61">
        <f>IFERROR($L$45/24,"")</f>
        <v>16.6666666666667</v>
      </c>
    </row>
    <row r="47" ht="21" customHeight="1">
      <c r="B47" s="64" t="inlineStr">
        <is>
          <t>Substituição</t>
        </is>
      </c>
      <c r="C47" s="25" t="str">
        <f>IF($L$12,"Carga = "&amp;$L$22&amp;" m³/dia × "&amp;$L$18&amp;" mg/L × 0,001 = "&amp;$L$16&amp;" kg/dia","Aguardando dados válidos para montar a conta.")</f>
        <v>Carga = 400 m³/dia × 180 mg/L × 0,001 = 72 kg/dia</v>
      </c>
      <c r="D47" s="25" t="n"/>
      <c r="E47" s="25" t="n"/>
      <c r="F47" s="25" t="n"/>
      <c r="G47" s="25" t="n"/>
      <c r="H47" s="25" t="n"/>
      <c r="K47" s="61" t="inlineStr">
        <is>
          <t>[Descobrir vazão] Qls</t>
        </is>
      </c>
      <c r="L47" s="61">
        <f>IFERROR($L$45/86.4,"")</f>
        <v>4.62962962962963</v>
      </c>
    </row>
    <row r="48" ht="21" customHeight="1">
      <c r="B48" s="64" t="inlineStr">
        <is>
          <t>Resultado</t>
        </is>
      </c>
      <c r="C48" s="25" t="str">
        <f>IF($L$12,"Carga de "&amp;$G$29&amp;" = "&amp;$L$16&amp;" kg/dia = "&amp;$L$24&amp;" g/dia","Aguardando dados válidos para montar a conta.")</f>
        <v>Carga de DBO = 72 kg/dia = 72.000 g/dia</v>
      </c>
      <c r="D48" s="25" t="n"/>
      <c r="E48" s="25" t="n"/>
      <c r="F48" s="25" t="n"/>
      <c r="G48" s="25" t="n"/>
      <c r="H48" s="25" t="n"/>
      <c r="K48" s="61" t="inlineStr">
        <is>
          <t>[Descobrir vazão] mensagem de validação</t>
        </is>
      </c>
      <c r="L48" s="61" t="str">
        <f>IFERROR(IF($L$43=0,"Escolha um cenário na lista: Exemplo 01, Exemplo 02 ou Meu cálculo.",IF($G$102="","Informe a carga para continuar (digite 0 se for o caso).",IF(NOT(ISNUMBER($G$102)),"A carga precisa ser um número. Confira o valor digitado.",IF($G$102&lt;0,"A carga não pode ser negativa.",IF($G$103="","Informe a concentração para continuar.",IF(NOT(ISNUMBER($G$103)),"A concentração precisa ser um número. Confira o valor digitado.",IF($G$103&lt;=0,"A concentração deve ser maior que zero.",""))))))),"Resultado indisponível: existem dados inválidos.")</f>
        <v/>
      </c>
    </row>
    <row r="49" ht="10" customHeight="1">
      <c r="K49" s="61" t="inlineStr">
        <is>
          <t>[Descobrir vazão] dados válidos?</t>
        </is>
      </c>
      <c r="L49" s="61" t="b">
        <f>$L$48=""</f>
        <v>1</v>
      </c>
    </row>
    <row r="50" ht="24" customHeight="1">
      <c r="B50" s="99" t="inlineStr">
        <is>
          <t>F · EXEMPLO E ORIENTAÇÃO</t>
        </is>
      </c>
      <c r="C50" s="99" t="n"/>
      <c r="D50" s="99" t="n"/>
      <c r="E50" s="99" t="n"/>
      <c r="F50" s="99" t="n"/>
      <c r="G50" s="99" t="n"/>
      <c r="H50" s="99" t="n"/>
      <c r="K50" s="61" t="inlineStr">
        <is>
          <t>[Descobrir vazão] C (arredondado)</t>
        </is>
      </c>
      <c r="L50" s="61">
        <f>IFERROR(ROUND($G$103,IF($G$103=0,0,4-INT(LOG10(ABS($G$103))))),"")</f>
        <v>180</v>
      </c>
    </row>
    <row r="51" ht="45" customHeight="1">
      <c r="B51" s="64" t="inlineStr">
        <is>
          <t>Exemplos desta ferramenta</t>
        </is>
      </c>
      <c r="C51" s="25" t="inlineStr">
        <is>
          <t>Exemplo 01: Uma indústria lança 400 m³/dia de efluente com DBO de 180 mg/L. Qual é a carga de DBO?
Exemplo 02: Um efluente com vazão de 5 L/s tem 250 mg/L de SST. Qual é a carga diária de sólidos?
Escolha o exemplo na lista Cenário para ver a resolução completa.</t>
        </is>
      </c>
      <c r="D51" s="25" t="n"/>
      <c r="E51" s="25" t="n"/>
      <c r="F51" s="25" t="n"/>
      <c r="G51" s="25" t="n"/>
      <c r="H51" s="25" t="n"/>
      <c r="K51" s="61" t="inlineStr">
        <is>
          <t>[Descobrir vazão] C (texto)</t>
        </is>
      </c>
      <c r="L51" s="61" t="str">
        <f>IF(ISNUMBER($L$50),FIXED($L$50,IF(ROUND($L$50,0)=$L$50,0,IF(ROUND($L$50,1)=$L$50,1,IF(ROUND($L$50,2)=$L$50,2,IF(ROUND($L$50,3)=$L$50,3,IF(ROUND($L$50,4)=$L$50,4,IF(ROUND($L$50,5)=$L$50,5,IF(ROUND($L$50,6)=$L$50,6,7)))))))),"?")</f>
        <v>180</v>
      </c>
    </row>
    <row r="52" ht="32" customHeight="1">
      <c r="B52" s="64" t="inlineStr">
        <is>
          <t>Como interpretar</t>
        </is>
      </c>
      <c r="C52" s="25" t="inlineStr">
        <is>
          <t>A carga mostra a massa total lançada. Duas correntes com a mesma concentração podem ter cargas muito diferentes se as vazões forem diferentes.</t>
        </is>
      </c>
      <c r="D52" s="25" t="n"/>
      <c r="E52" s="25" t="n"/>
      <c r="F52" s="25" t="n"/>
      <c r="G52" s="25" t="n"/>
      <c r="H52" s="25" t="n"/>
      <c r="K52" s="61" t="inlineStr">
        <is>
          <t>[Descobrir vazão] L (arredondado)</t>
        </is>
      </c>
      <c r="L52" s="61">
        <f>IFERROR(ROUND($G$102,IF($G$102=0,0,4-INT(LOG10(ABS($G$102))))),"")</f>
        <v>72</v>
      </c>
    </row>
    <row r="53" ht="32" customHeight="1">
      <c r="B53" s="101" t="inlineStr">
        <is>
          <t>⚠ Erro comum</t>
        </is>
      </c>
      <c r="C53" s="102" t="inlineStr">
        <is>
          <t>Usar a vazão em L/s ou m³/h direto na fórmula. Ela precisa estar em m³/dia. A calculadora converte para você quando você escolhe a unidade.</t>
        </is>
      </c>
      <c r="D53" s="102" t="n"/>
      <c r="E53" s="102" t="n"/>
      <c r="F53" s="102" t="n"/>
      <c r="G53" s="102" t="n"/>
      <c r="H53" s="102" t="n"/>
      <c r="K53" s="61" t="inlineStr">
        <is>
          <t>[Descobrir vazão] L (texto)</t>
        </is>
      </c>
      <c r="L53" s="61" t="str">
        <f>IF(ISNUMBER($L$52),FIXED($L$52,IF(ROUND($L$52,0)=$L$52,0,IF(ROUND($L$52,1)=$L$52,1,IF(ROUND($L$52,2)=$L$52,2,IF(ROUND($L$52,3)=$L$52,3,IF(ROUND($L$52,4)=$L$52,4,IF(ROUND($L$52,5)=$L$52,5,IF(ROUND($L$52,6)=$L$52,6,7)))))))),"?")</f>
        <v>72</v>
      </c>
    </row>
    <row r="54" ht="32" customHeight="1">
      <c r="B54" s="103" t="inlineStr">
        <is>
          <t>💡 Dica prática</t>
        </is>
      </c>
      <c r="C54" s="104" t="inlineStr">
        <is>
          <t>Entenda o 0,001: 1 mg/L é igual a 1 g/m³. Então m³/dia × g/m³ dá g/dia, e multiplicar por 0,001 dá kg/dia.</t>
        </is>
      </c>
      <c r="D54" s="104" t="n"/>
      <c r="E54" s="104" t="n"/>
      <c r="F54" s="104" t="n"/>
      <c r="G54" s="104" t="n"/>
      <c r="H54" s="104" t="n"/>
      <c r="K54" s="61" t="inlineStr">
        <is>
          <t>[Descobrir vazão] Qd (arredondado)</t>
        </is>
      </c>
      <c r="L54" s="61">
        <f>IFERROR(ROUND($L$45,IF($L$45=0,0,4-INT(LOG10(ABS($L$45))))),"")</f>
        <v>400</v>
      </c>
    </row>
    <row r="55" ht="14" customHeight="1">
      <c r="K55" s="61" t="inlineStr">
        <is>
          <t>[Descobrir vazão] Qd (texto)</t>
        </is>
      </c>
      <c r="L55" s="61" t="str">
        <f>IF(ISNUMBER($L$54),FIXED($L$54,IF(ROUND($L$54,0)=$L$54,0,IF(ROUND($L$54,1)=$L$54,1,IF(ROUND($L$54,2)=$L$54,2,IF(ROUND($L$54,3)=$L$54,3,IF(ROUND($L$54,4)=$L$54,4,IF(ROUND($L$54,5)=$L$54,5,IF(ROUND($L$54,6)=$L$54,6,7)))))))),"?")</f>
        <v>400</v>
      </c>
    </row>
    <row r="56" ht="14" customHeight="1">
      <c r="K56" s="61" t="inlineStr">
        <is>
          <t>[Descobrir vazão] Qls (arredondado)</t>
        </is>
      </c>
      <c r="L56" s="61">
        <f>IFERROR(ROUND($L$47,IF($L$47=0,0,4-INT(LOG10(ABS($L$47))))),"")</f>
        <v>4.6296</v>
      </c>
    </row>
    <row r="57" ht="30" customHeight="1">
      <c r="B57" s="72" t="inlineStr">
        <is>
          <t>FERRAMENTA 2  ·  DESCOBRIR A CONCENTRAÇÃO</t>
        </is>
      </c>
      <c r="C57" s="72" t="n"/>
      <c r="D57" s="72" t="n"/>
      <c r="E57" s="72" t="n"/>
      <c r="F57" s="72" t="n"/>
      <c r="G57" s="72" t="n"/>
      <c r="H57" s="73" t="inlineStr">
        <is>
          <t>▲ Voltar ao topo</t>
        </is>
      </c>
      <c r="K57" s="61" t="inlineStr">
        <is>
          <t>[Descobrir vazão] Qls (texto)</t>
        </is>
      </c>
      <c r="L57" s="61" t="str">
        <f>IF(ISNUMBER($L$56),FIXED($L$56,IF(ROUND($L$56,0)=$L$56,0,IF(ROUND($L$56,1)=$L$56,1,IF(ROUND($L$56,2)=$L$56,2,IF(ROUND($L$56,3)=$L$56,3,IF(ROUND($L$56,4)=$L$56,4,IF(ROUND($L$56,5)=$L$56,5,IF(ROUND($L$56,6)=$L$56,6,7)))))))),"?")</f>
        <v>4,6296</v>
      </c>
    </row>
    <row r="58" ht="19" customHeight="1">
      <c r="B58" s="74" t="inlineStr">
        <is>
          <t>Calcula a concentração média de um parâmetro quando você conhece a carga diária e a vazão.</t>
        </is>
      </c>
      <c r="C58" s="74" t="n"/>
      <c r="D58" s="74" t="n"/>
      <c r="E58" s="74" t="n"/>
      <c r="F58" s="74" t="n"/>
      <c r="G58" s="74" t="n"/>
      <c r="H58" s="74" t="n"/>
      <c r="K58" s="61" t="inlineStr">
        <is>
          <t>[Descobrir vazão] Qh (arredondado)</t>
        </is>
      </c>
      <c r="L58" s="61">
        <f>IFERROR(ROUND($L$46,IF($L$46=0,0,4-INT(LOG10(ABS($L$46))))),"")</f>
        <v>16.667</v>
      </c>
    </row>
    <row r="59" ht="6" customHeight="1">
      <c r="K59" s="61" t="inlineStr">
        <is>
          <t>[Descobrir vazão] Qh (texto)</t>
        </is>
      </c>
      <c r="L59" s="61" t="str">
        <f>IF(ISNUMBER($L$58),FIXED($L$58,IF(ROUND($L$58,0)=$L$58,0,IF(ROUND($L$58,1)=$L$58,1,IF(ROUND($L$58,2)=$L$58,2,IF(ROUND($L$58,3)=$L$58,3,IF(ROUND($L$58,4)=$L$58,4,IF(ROUND($L$58,5)=$L$58,5,IF(ROUND($L$58,6)=$L$58,6,7)))))))),"?")</f>
        <v>16,667</v>
      </c>
    </row>
    <row r="60" ht="20" customHeight="1">
      <c r="B60" s="75" t="inlineStr">
        <is>
          <t>B · ESCOLHA DO CENÁRIO</t>
        </is>
      </c>
      <c r="C60" s="75" t="n"/>
      <c r="D60" s="75" t="n"/>
      <c r="E60" s="75" t="n"/>
      <c r="F60" s="75" t="n"/>
      <c r="G60" s="75" t="n"/>
      <c r="H60" s="75" t="n"/>
      <c r="K60" s="61" t="inlineStr">
        <is>
          <t>[Descobrir vazão] resumo</t>
        </is>
      </c>
      <c r="L60" s="61" t="str">
        <f>IF($L$49,$L$55&amp;" "&amp;"m³/dia","—")</f>
        <v>400 m³/dia</v>
      </c>
    </row>
    <row r="61" ht="30" customHeight="1">
      <c r="B61" s="47" t="inlineStr">
        <is>
          <t>Cenário  ▼</t>
        </is>
      </c>
      <c r="C61" s="76" t="inlineStr">
        <is>
          <t>Exemplo 01</t>
        </is>
      </c>
      <c r="D61" s="77" t="n"/>
      <c r="E61" s="68" t="inlineStr">
        <is>
          <t>Exemplo 01 e Exemplo 02 usam dados prontos. Meu cálculo usa os valores que você digitar na coluna amarela.</t>
        </is>
      </c>
      <c r="F61" s="68" t="n"/>
      <c r="G61" s="68" t="n"/>
      <c r="H61" s="68" t="n"/>
    </row>
    <row r="62" ht="6" customHeight="1"/>
    <row r="63" ht="20" customHeight="1">
      <c r="B63" s="75" t="inlineStr">
        <is>
          <t>C · DADOS DE ENTRADA</t>
        </is>
      </c>
      <c r="C63" s="75" t="n"/>
      <c r="D63" s="75" t="n"/>
      <c r="E63" s="75" t="n"/>
      <c r="F63" s="75" t="n"/>
      <c r="G63" s="75" t="n"/>
      <c r="H63" s="75" t="n"/>
    </row>
    <row r="64" ht="22" customHeight="1">
      <c r="B64" s="78" t="inlineStr">
        <is>
          <t>Variável</t>
        </is>
      </c>
      <c r="C64" s="78" t="inlineStr">
        <is>
          <t>Exemplo 01</t>
        </is>
      </c>
      <c r="D64" s="78" t="inlineStr">
        <is>
          <t>Exemplo 02</t>
        </is>
      </c>
      <c r="E64" s="79" t="inlineStr">
        <is>
          <t>MEU CÁLCULO</t>
        </is>
      </c>
      <c r="F64" s="78" t="inlineStr">
        <is>
          <t>Unidade</t>
        </is>
      </c>
      <c r="G64" s="80" t="inlineStr">
        <is>
          <t>Valor em uso</t>
        </is>
      </c>
      <c r="H64" s="78" t="inlineStr">
        <is>
          <t>Orientação de preenchimento</t>
        </is>
      </c>
    </row>
    <row r="65" ht="29.4" customHeight="1">
      <c r="B65" s="47" t="inlineStr">
        <is>
          <t>Parâmetro</t>
        </is>
      </c>
      <c r="C65" s="81" t="inlineStr">
        <is>
          <t>DBO</t>
        </is>
      </c>
      <c r="D65" s="81" t="inlineStr">
        <is>
          <t>DQO</t>
        </is>
      </c>
      <c r="E65" s="82" t="inlineStr">
        <is>
          <t>DBO</t>
        </is>
      </c>
      <c r="F65" s="83" t="inlineStr">
        <is>
          <t>lista ▼</t>
        </is>
      </c>
      <c r="G65" s="84" t="str">
        <f>IF($L$26=1,C65,IF($L$26=2,D65,IF($L$26=3,IF(E65="","",E65),"")))</f>
        <v>DBO</v>
      </c>
      <c r="H65" s="85" t="inlineStr">
        <is>
          <t>Escolha o parâmetro (serve para identificar o resultado).</t>
        </is>
      </c>
    </row>
    <row r="66" ht="22" customHeight="1">
      <c r="B66" s="47" t="inlineStr">
        <is>
          <t>Carga</t>
        </is>
      </c>
      <c r="C66" s="81" t="n">
        <v>24</v>
      </c>
      <c r="D66" s="81" t="n">
        <v>150</v>
      </c>
      <c r="E66" s="82" t="n"/>
      <c r="F66" s="83" t="inlineStr">
        <is>
          <t>kg/dia</t>
        </is>
      </c>
      <c r="G66" s="84">
        <f>IF($L$26=1,C66,IF($L$26=2,D66,IF($L$26=3,IF(E66="","",E66),"")))</f>
        <v>24</v>
      </c>
      <c r="H66" s="85" t="inlineStr">
        <is>
          <t>Carga do parâmetro em kg/dia. Ex.: 24</t>
        </is>
      </c>
    </row>
    <row r="67" ht="22" customHeight="1">
      <c r="B67" s="47" t="inlineStr">
        <is>
          <t>Vazão</t>
        </is>
      </c>
      <c r="C67" s="81" t="n">
        <v>400</v>
      </c>
      <c r="D67" s="81" t="n">
        <v>50</v>
      </c>
      <c r="E67" s="82" t="n"/>
      <c r="F67" s="83" t="str">
        <f>$G$68</f>
        <v>m³/dia</v>
      </c>
      <c r="G67" s="84">
        <f>IF($L$26=1,C67,IF($L$26=2,D67,IF($L$26=3,IF(E67="","",E67),"")))</f>
        <v>400</v>
      </c>
      <c r="H67" s="85" t="inlineStr">
        <is>
          <t>Vazão da corrente. Ex.: 400</t>
        </is>
      </c>
    </row>
    <row r="68" ht="22" customHeight="1">
      <c r="B68" s="47" t="inlineStr">
        <is>
          <t>Unidade da vazão</t>
        </is>
      </c>
      <c r="C68" s="81" t="inlineStr">
        <is>
          <t>m³/dia</t>
        </is>
      </c>
      <c r="D68" s="81" t="inlineStr">
        <is>
          <t>m³/h</t>
        </is>
      </c>
      <c r="E68" s="82" t="inlineStr">
        <is>
          <t>m³/dia</t>
        </is>
      </c>
      <c r="F68" s="83" t="inlineStr">
        <is>
          <t>lista ▼</t>
        </is>
      </c>
      <c r="G68" s="84" t="str">
        <f>IF($L$26=1,C68,IF($L$26=2,D68,IF($L$26=3,IF(E68="","",E68),"")))</f>
        <v>m³/dia</v>
      </c>
      <c r="H68" s="85" t="inlineStr">
        <is>
          <t>Escolha m³/dia, m³/h ou L/s.</t>
        </is>
      </c>
    </row>
    <row r="69" ht="8" customHeight="1"/>
    <row r="70" ht="24" customHeight="1">
      <c r="B70" s="86" t="inlineStr">
        <is>
          <t>D · RESULTADO AUTOMÁTICO</t>
        </is>
      </c>
      <c r="C70" s="86" t="n"/>
      <c r="D70" s="86" t="n"/>
      <c r="E70" s="86" t="n"/>
      <c r="F70" s="86" t="n"/>
      <c r="G70" s="86" t="n"/>
      <c r="H70" s="86" t="n"/>
    </row>
    <row r="71" ht="22" customHeight="1">
      <c r="B71" s="87" t="str">
        <f>"CONCENTRAÇÃO DE "&amp;UPPER($G$65)</f>
        <v>CONCENTRAÇÃO DE DBO</v>
      </c>
      <c r="C71" s="87" t="n"/>
      <c r="D71" s="87" t="n"/>
      <c r="E71" s="88" t="inlineStr">
        <is>
          <t>OUTROS RESULTADOS</t>
        </is>
      </c>
      <c r="F71" s="88" t="n"/>
      <c r="G71" s="88" t="n"/>
      <c r="H71" s="88" t="n"/>
    </row>
    <row r="72" ht="21" customHeight="1">
      <c r="B72" s="89">
        <f>IF($L$33,$L$30,"—")</f>
        <v>60</v>
      </c>
      <c r="C72" s="90" t="n"/>
      <c r="D72" s="91" t="inlineStr">
        <is>
          <t>mg/L</t>
        </is>
      </c>
      <c r="E72" s="92" t="inlineStr">
        <is>
          <t>Mesmo valor em g/m³</t>
        </is>
      </c>
      <c r="F72" s="92" t="n"/>
      <c r="G72" s="93">
        <f>IF($L$33,$L$30,"—")</f>
        <v>60</v>
      </c>
      <c r="H72" s="94" t="inlineStr">
        <is>
          <t>g/m³</t>
        </is>
      </c>
    </row>
    <row r="73" ht="21" customHeight="1">
      <c r="B73" s="90" t="n"/>
      <c r="C73" s="90" t="n"/>
      <c r="D73" s="91" t="n"/>
      <c r="E73" s="92" t="inlineStr">
        <is>
          <t>Em kg/m³</t>
        </is>
      </c>
      <c r="F73" s="92" t="n"/>
      <c r="G73" s="93">
        <f>IF($L$33,$L$31,"—")</f>
        <v>0.06</v>
      </c>
      <c r="H73" s="94" t="inlineStr">
        <is>
          <t>kg/m³</t>
        </is>
      </c>
    </row>
    <row r="74" ht="21" customHeight="1">
      <c r="B74" s="90" t="n"/>
      <c r="C74" s="90" t="n"/>
      <c r="D74" s="91" t="n"/>
      <c r="E74" s="92" t="inlineStr">
        <is>
          <t>Vazão usada</t>
        </is>
      </c>
      <c r="F74" s="92" t="n"/>
      <c r="G74" s="93">
        <f>IF($L$33,$L$28,"—")</f>
        <v>400</v>
      </c>
      <c r="H74" s="94" t="inlineStr">
        <is>
          <t>m³/dia</t>
        </is>
      </c>
    </row>
    <row r="75" ht="21" customHeight="1">
      <c r="B75" s="90" t="n"/>
      <c r="C75" s="90" t="n"/>
      <c r="D75" s="91" t="n"/>
      <c r="E75" s="95" t="n"/>
      <c r="F75" s="95" t="n"/>
      <c r="G75" s="95" t="n"/>
      <c r="H75" s="95" t="n"/>
    </row>
    <row r="76" ht="21" customHeight="1">
      <c r="B76" s="96" t="inlineStr">
        <is>
          <t>Interpretação</t>
        </is>
      </c>
      <c r="C76" s="97" t="str">
        <f>IF($L$33,"Cada litro do efluente carrega, em média, "&amp;$L$35&amp;" mg de "&amp;$G$65&amp;". É o mesmo que "&amp;$L$35&amp;" g em cada m³.","Resultado indisponível: corrija o item indicado em Status dos dados.")</f>
        <v>Cada litro do efluente carrega, em média, 60 mg de DBO. É o mesmo que 60 g em cada m³.</v>
      </c>
      <c r="D76" s="97" t="n"/>
      <c r="E76" s="97" t="n"/>
      <c r="F76" s="97" t="n"/>
      <c r="G76" s="97" t="n"/>
      <c r="H76" s="97" t="n"/>
    </row>
    <row r="77" ht="21" customHeight="1">
      <c r="B77" s="96" t="inlineStr">
        <is>
          <t>Status dos dados</t>
        </is>
      </c>
      <c r="C77" s="98" t="str">
        <f>IF($L$33,"✔ Dados válidos. Resultado calculado automaticamente.","⚠ "&amp;$L$32)</f>
        <v>✔ Dados válidos. Resultado calculado automaticamente.</v>
      </c>
      <c r="D77" s="98" t="n"/>
      <c r="E77" s="98" t="n"/>
      <c r="F77" s="98" t="n"/>
      <c r="G77" s="98" t="n"/>
      <c r="H77" s="98" t="n"/>
    </row>
    <row r="78" ht="10" customHeight="1"/>
    <row r="79" ht="24" customHeight="1">
      <c r="B79" s="99" t="inlineStr">
        <is>
          <t>E · ENTENDA O CÁLCULO</t>
        </is>
      </c>
      <c r="C79" s="99" t="n"/>
      <c r="D79" s="99" t="n"/>
      <c r="E79" s="99" t="n"/>
      <c r="F79" s="99" t="n"/>
      <c r="G79" s="99" t="n"/>
      <c r="H79" s="99" t="n"/>
    </row>
    <row r="80" ht="26" customHeight="1">
      <c r="B80" s="64" t="inlineStr">
        <is>
          <t>Fórmula</t>
        </is>
      </c>
      <c r="C80" s="100" t="inlineStr">
        <is>
          <t>C (mg/L) = Carga (kg/dia) × 1000 ÷ Q (m³/dia)</t>
        </is>
      </c>
      <c r="D80" s="100" t="n"/>
      <c r="E80" s="100" t="n"/>
      <c r="F80" s="100" t="n"/>
      <c r="G80" s="100" t="n"/>
      <c r="H80" s="100" t="n"/>
    </row>
    <row r="81" ht="19" customHeight="1">
      <c r="B81" s="64" t="inlineStr">
        <is>
          <t>O que é cada variável</t>
        </is>
      </c>
      <c r="C81" s="25" t="inlineStr">
        <is>
          <t>C = concentração   |   Carga = massa por dia   |   Q = vazão em m³/dia   |   1000 = converte kg em g</t>
        </is>
      </c>
      <c r="D81" s="25" t="n"/>
      <c r="E81" s="25" t="n"/>
      <c r="F81" s="25" t="n"/>
      <c r="G81" s="25" t="n"/>
      <c r="H81" s="25" t="n"/>
    </row>
    <row r="82" ht="21" customHeight="1">
      <c r="B82" s="64" t="inlineStr">
        <is>
          <t>Valores inseridos</t>
        </is>
      </c>
      <c r="C82" s="25" t="str">
        <f>"Parâmetro: "&amp;$G$65&amp;"   |   "&amp;"Carga = "&amp;$L$37&amp;" "&amp;"kg/dia"&amp;"   |   "&amp;"Q = "&amp;$L$39&amp;" "&amp;$G$68</f>
        <v>Parâmetro: DBO   |   Carga = 24 kg/dia   |   Q = 400 m³/dia</v>
      </c>
      <c r="D82" s="25" t="n"/>
      <c r="E82" s="25" t="n"/>
      <c r="F82" s="25" t="n"/>
      <c r="G82" s="25" t="n"/>
      <c r="H82" s="25" t="n"/>
    </row>
    <row r="83" ht="21" customHeight="1">
      <c r="B83" s="64" t="inlineStr">
        <is>
          <t>Substituição</t>
        </is>
      </c>
      <c r="C83" s="25" t="str">
        <f>IF($L$33,"C = "&amp;$L$37&amp;" kg/dia × 1000 ÷ "&amp;$L$41&amp;" m³/dia = "&amp;$L$35&amp;" mg/L","Aguardando dados válidos para montar a conta.")</f>
        <v>C = 24 kg/dia × 1000 ÷ 400 m³/dia = 60 mg/L</v>
      </c>
      <c r="D83" s="25" t="n"/>
      <c r="E83" s="25" t="n"/>
      <c r="F83" s="25" t="n"/>
      <c r="G83" s="25" t="n"/>
      <c r="H83" s="25" t="n"/>
    </row>
    <row r="84" ht="21" customHeight="1">
      <c r="B84" s="64" t="inlineStr">
        <is>
          <t>Resultado</t>
        </is>
      </c>
      <c r="C84" s="25" t="str">
        <f>IF($L$33,"C = "&amp;$L$35&amp;" mg/L","Aguardando dados válidos para montar a conta.")</f>
        <v>C = 60 mg/L</v>
      </c>
      <c r="D84" s="25" t="n"/>
      <c r="E84" s="25" t="n"/>
      <c r="F84" s="25" t="n"/>
      <c r="G84" s="25" t="n"/>
      <c r="H84" s="25" t="n"/>
    </row>
    <row r="85" ht="10" customHeight="1"/>
    <row r="86" ht="24" customHeight="1">
      <c r="B86" s="99" t="inlineStr">
        <is>
          <t>F · EXEMPLO E ORIENTAÇÃO</t>
        </is>
      </c>
      <c r="C86" s="99" t="n"/>
      <c r="D86" s="99" t="n"/>
      <c r="E86" s="99" t="n"/>
      <c r="F86" s="99" t="n"/>
      <c r="G86" s="99" t="n"/>
      <c r="H86" s="99" t="n"/>
    </row>
    <row r="87" ht="71" customHeight="1">
      <c r="B87" s="64" t="inlineStr">
        <is>
          <t>Exemplos desta ferramenta</t>
        </is>
      </c>
      <c r="C87" s="25" t="inlineStr">
        <is>
          <t>Exemplo 01: Um efluente tratado sai com carga de 24 kg/dia de DBO e vazão de 400 m³/dia. Qual é a concentração de DBO?
Exemplo 02: Uma lavanderia gera 150 kg/dia de DQO com vazão de 50 m³/h. Qual é a concentração média de DQO?
Escolha o exemplo na lista Cenário para ver a resolução completa.</t>
        </is>
      </c>
      <c r="D87" s="25" t="n"/>
      <c r="E87" s="25" t="n"/>
      <c r="F87" s="25" t="n"/>
      <c r="G87" s="25" t="n"/>
      <c r="H87" s="25" t="n"/>
    </row>
    <row r="88" ht="32" customHeight="1">
      <c r="B88" s="64" t="inlineStr">
        <is>
          <t>Como interpretar</t>
        </is>
      </c>
      <c r="C88" s="25" t="inlineStr">
        <is>
          <t>A concentração diz o quanto cada litro está carregado. Compare com o padrão de lançamento aplicável ao seu caso.</t>
        </is>
      </c>
      <c r="D88" s="25" t="n"/>
      <c r="E88" s="25" t="n"/>
      <c r="F88" s="25" t="n"/>
      <c r="G88" s="25" t="n"/>
      <c r="H88" s="25" t="n"/>
    </row>
    <row r="89" ht="19" customHeight="1">
      <c r="B89" s="101" t="inlineStr">
        <is>
          <t>⚠ Erro comum</t>
        </is>
      </c>
      <c r="C89" s="102" t="inlineStr">
        <is>
          <t>Esquecer o fator 1000. Sem ele a resposta sai mil vezes menor (em kg/m³).</t>
        </is>
      </c>
      <c r="D89" s="102" t="n"/>
      <c r="E89" s="102" t="n"/>
      <c r="F89" s="102" t="n"/>
      <c r="G89" s="102" t="n"/>
      <c r="H89" s="102" t="n"/>
    </row>
    <row r="90" ht="32" customHeight="1">
      <c r="B90" s="103" t="inlineStr">
        <is>
          <t>💡 Dica prática</t>
        </is>
      </c>
      <c r="C90" s="104" t="inlineStr">
        <is>
          <t>Use esta ferramenta para conferir se uma carga informada em relatório é coerente com a vazão e a concentração medidas.</t>
        </is>
      </c>
      <c r="D90" s="104" t="n"/>
      <c r="E90" s="104" t="n"/>
      <c r="F90" s="104" t="n"/>
      <c r="G90" s="104" t="n"/>
      <c r="H90" s="104" t="n"/>
    </row>
    <row r="91" ht="14" customHeight="1"/>
    <row r="92" ht="14" customHeight="1"/>
    <row r="93" ht="30" customHeight="1">
      <c r="B93" s="72" t="inlineStr">
        <is>
          <t>FERRAMENTA 3  ·  DESCOBRIR A VAZÃO</t>
        </is>
      </c>
      <c r="C93" s="72" t="n"/>
      <c r="D93" s="72" t="n"/>
      <c r="E93" s="72" t="n"/>
      <c r="F93" s="72" t="n"/>
      <c r="G93" s="72" t="n"/>
      <c r="H93" s="73" t="inlineStr">
        <is>
          <t>▲ Voltar ao topo</t>
        </is>
      </c>
    </row>
    <row r="94" ht="19" customHeight="1">
      <c r="B94" s="74" t="inlineStr">
        <is>
          <t>Calcula a vazão que transporta uma carga conhecida com uma concentração conhecida.</t>
        </is>
      </c>
      <c r="C94" s="74" t="n"/>
      <c r="D94" s="74" t="n"/>
      <c r="E94" s="74" t="n"/>
      <c r="F94" s="74" t="n"/>
      <c r="G94" s="74" t="n"/>
      <c r="H94" s="74" t="n"/>
    </row>
    <row r="95" ht="6" customHeight="1"/>
    <row r="96" ht="20" customHeight="1">
      <c r="B96" s="75" t="inlineStr">
        <is>
          <t>B · ESCOLHA DO CENÁRIO</t>
        </is>
      </c>
      <c r="C96" s="75" t="n"/>
      <c r="D96" s="75" t="n"/>
      <c r="E96" s="75" t="n"/>
      <c r="F96" s="75" t="n"/>
      <c r="G96" s="75" t="n"/>
      <c r="H96" s="75" t="n"/>
    </row>
    <row r="97" ht="30" customHeight="1">
      <c r="B97" s="47" t="inlineStr">
        <is>
          <t>Cenário  ▼</t>
        </is>
      </c>
      <c r="C97" s="76" t="inlineStr">
        <is>
          <t>Exemplo 01</t>
        </is>
      </c>
      <c r="D97" s="77" t="n"/>
      <c r="E97" s="68" t="inlineStr">
        <is>
          <t>Exemplo 01 e Exemplo 02 usam dados prontos. Meu cálculo usa os valores que você digitar na coluna amarela.</t>
        </is>
      </c>
      <c r="F97" s="68" t="n"/>
      <c r="G97" s="68" t="n"/>
      <c r="H97" s="68" t="n"/>
    </row>
    <row r="98" ht="6" customHeight="1"/>
    <row r="99" ht="20" customHeight="1">
      <c r="B99" s="75" t="inlineStr">
        <is>
          <t>C · DADOS DE ENTRADA</t>
        </is>
      </c>
      <c r="C99" s="75" t="n"/>
      <c r="D99" s="75" t="n"/>
      <c r="E99" s="75" t="n"/>
      <c r="F99" s="75" t="n"/>
      <c r="G99" s="75" t="n"/>
      <c r="H99" s="75" t="n"/>
    </row>
    <row r="100" ht="22" customHeight="1">
      <c r="B100" s="78" t="inlineStr">
        <is>
          <t>Variável</t>
        </is>
      </c>
      <c r="C100" s="78" t="inlineStr">
        <is>
          <t>Exemplo 01</t>
        </is>
      </c>
      <c r="D100" s="78" t="inlineStr">
        <is>
          <t>Exemplo 02</t>
        </is>
      </c>
      <c r="E100" s="79" t="inlineStr">
        <is>
          <t>MEU CÁLCULO</t>
        </is>
      </c>
      <c r="F100" s="78" t="inlineStr">
        <is>
          <t>Unidade</t>
        </is>
      </c>
      <c r="G100" s="80" t="inlineStr">
        <is>
          <t>Valor em uso</t>
        </is>
      </c>
      <c r="H100" s="78" t="inlineStr">
        <is>
          <t>Orientação de preenchimento</t>
        </is>
      </c>
    </row>
    <row r="101" ht="29.4" customHeight="1">
      <c r="B101" s="47" t="inlineStr">
        <is>
          <t>Parâmetro</t>
        </is>
      </c>
      <c r="C101" s="81" t="inlineStr">
        <is>
          <t>DBO</t>
        </is>
      </c>
      <c r="D101" s="81" t="inlineStr">
        <is>
          <t>Fósforo total</t>
        </is>
      </c>
      <c r="E101" s="82" t="inlineStr">
        <is>
          <t>DBO</t>
        </is>
      </c>
      <c r="F101" s="83" t="inlineStr">
        <is>
          <t>lista ▼</t>
        </is>
      </c>
      <c r="G101" s="84" t="str">
        <f>IF($L$43=1,C101,IF($L$43=2,D101,IF($L$43=3,IF(E101="","",E101),"")))</f>
        <v>DBO</v>
      </c>
      <c r="H101" s="85" t="inlineStr">
        <is>
          <t>Escolha o parâmetro (serve para identificar o resultado).</t>
        </is>
      </c>
    </row>
    <row r="102" ht="22" customHeight="1">
      <c r="B102" s="47" t="inlineStr">
        <is>
          <t>Carga</t>
        </is>
      </c>
      <c r="C102" s="81" t="n">
        <v>72</v>
      </c>
      <c r="D102" s="81" t="n">
        <v>6</v>
      </c>
      <c r="E102" s="82" t="n"/>
      <c r="F102" s="83" t="inlineStr">
        <is>
          <t>kg/dia</t>
        </is>
      </c>
      <c r="G102" s="84">
        <f>IF($L$43=1,C102,IF($L$43=2,D102,IF($L$43=3,IF(E102="","",E102),"")))</f>
        <v>72</v>
      </c>
      <c r="H102" s="85" t="inlineStr">
        <is>
          <t>Carga do parâmetro em kg/dia. Ex.: 72</t>
        </is>
      </c>
    </row>
    <row r="103" ht="22" customHeight="1">
      <c r="B103" s="47" t="inlineStr">
        <is>
          <t>Concentração</t>
        </is>
      </c>
      <c r="C103" s="81" t="n">
        <v>180</v>
      </c>
      <c r="D103" s="81" t="n">
        <v>8</v>
      </c>
      <c r="E103" s="82" t="n"/>
      <c r="F103" s="83" t="inlineStr">
        <is>
          <t>mg/L</t>
        </is>
      </c>
      <c r="G103" s="84">
        <f>IF($L$43=1,C103,IF($L$43=2,D103,IF($L$43=3,IF(E103="","",E103),"")))</f>
        <v>180</v>
      </c>
      <c r="H103" s="85" t="inlineStr">
        <is>
          <t>Concentração do parâmetro em mg/L. Ex.: 180</t>
        </is>
      </c>
    </row>
    <row r="104" ht="8" customHeight="1"/>
    <row r="105" ht="24" customHeight="1">
      <c r="B105" s="86" t="inlineStr">
        <is>
          <t>D · RESULTADO AUTOMÁTICO</t>
        </is>
      </c>
      <c r="C105" s="86" t="n"/>
      <c r="D105" s="86" t="n"/>
      <c r="E105" s="86" t="n"/>
      <c r="F105" s="86" t="n"/>
      <c r="G105" s="86" t="n"/>
      <c r="H105" s="86" t="n"/>
    </row>
    <row r="106" ht="22" customHeight="1">
      <c r="B106" s="87" t="inlineStr">
        <is>
          <t>VAZÃO</t>
        </is>
      </c>
      <c r="C106" s="87" t="n"/>
      <c r="D106" s="87" t="n"/>
      <c r="E106" s="88" t="inlineStr">
        <is>
          <t>OUTROS RESULTADOS</t>
        </is>
      </c>
      <c r="F106" s="88" t="n"/>
      <c r="G106" s="88" t="n"/>
      <c r="H106" s="88" t="n"/>
    </row>
    <row r="107" ht="21" customHeight="1">
      <c r="B107" s="89">
        <f>IF($L$49,$L$45,"—")</f>
        <v>400</v>
      </c>
      <c r="C107" s="90" t="n"/>
      <c r="D107" s="91" t="inlineStr">
        <is>
          <t>m³/dia</t>
        </is>
      </c>
      <c r="E107" s="92" t="inlineStr">
        <is>
          <t>Vazão em m³/h</t>
        </is>
      </c>
      <c r="F107" s="92" t="n"/>
      <c r="G107" s="93">
        <f>IF($L$49,$L$46,"—")</f>
        <v>16.6666666666667</v>
      </c>
      <c r="H107" s="94" t="inlineStr">
        <is>
          <t>m³/h</t>
        </is>
      </c>
    </row>
    <row r="108" ht="21" customHeight="1">
      <c r="B108" s="90" t="n"/>
      <c r="C108" s="90" t="n"/>
      <c r="D108" s="91" t="n"/>
      <c r="E108" s="92" t="inlineStr">
        <is>
          <t>Vazão em L/s</t>
        </is>
      </c>
      <c r="F108" s="92" t="n"/>
      <c r="G108" s="93">
        <f>IF($L$49,$L$47,"—")</f>
        <v>4.62962962962963</v>
      </c>
      <c r="H108" s="94" t="inlineStr">
        <is>
          <t>L/s</t>
        </is>
      </c>
    </row>
    <row r="109" ht="21" customHeight="1">
      <c r="B109" s="90" t="n"/>
      <c r="C109" s="90" t="n"/>
      <c r="D109" s="91" t="n"/>
      <c r="E109" s="95" t="n"/>
      <c r="F109" s="95" t="n"/>
      <c r="G109" s="95" t="n"/>
      <c r="H109" s="95" t="n"/>
    </row>
    <row r="110" ht="21" customHeight="1">
      <c r="B110" s="90" t="n"/>
      <c r="C110" s="90" t="n"/>
      <c r="D110" s="91" t="n"/>
      <c r="E110" s="95" t="n"/>
      <c r="F110" s="95" t="n"/>
      <c r="G110" s="95" t="n"/>
      <c r="H110" s="95" t="n"/>
    </row>
    <row r="111" ht="34" customHeight="1">
      <c r="B111" s="96" t="inlineStr">
        <is>
          <t>Interpretação</t>
        </is>
      </c>
      <c r="C111" s="97" t="str">
        <f>IF($L$49,"Significado físico: para levar "&amp;$L$53&amp;" kg/dia de "&amp;$G$101&amp;" com "&amp;$L$51&amp;" mg/L, precisam passar "&amp;$L$55&amp;" m³ de líquido por dia, cerca de "&amp;$L$57&amp;" litros a cada segundo.","Resultado indisponível: corrija o item indicado em Status dos dados.")</f>
        <v>Significado físico: para levar 72 kg/dia de DBO com 180 mg/L, precisam passar 400 m³ de líquido por dia, cerca de 4,6296 litros a cada segundo.</v>
      </c>
      <c r="D111" s="97" t="n"/>
      <c r="E111" s="97" t="n"/>
      <c r="F111" s="97" t="n"/>
      <c r="G111" s="97" t="n"/>
      <c r="H111" s="97" t="n"/>
    </row>
    <row r="112" ht="21" customHeight="1">
      <c r="B112" s="96" t="inlineStr">
        <is>
          <t>Status dos dados</t>
        </is>
      </c>
      <c r="C112" s="98" t="str">
        <f>IF($L$49,"✔ Dados válidos. Resultado calculado automaticamente.","⚠ "&amp;$L$48)</f>
        <v>✔ Dados válidos. Resultado calculado automaticamente.</v>
      </c>
      <c r="D112" s="98" t="n"/>
      <c r="E112" s="98" t="n"/>
      <c r="F112" s="98" t="n"/>
      <c r="G112" s="98" t="n"/>
      <c r="H112" s="98" t="n"/>
    </row>
    <row r="113" ht="10" customHeight="1"/>
    <row r="114" ht="24" customHeight="1">
      <c r="B114" s="99" t="inlineStr">
        <is>
          <t>E · ENTENDA O CÁLCULO</t>
        </is>
      </c>
      <c r="C114" s="99" t="n"/>
      <c r="D114" s="99" t="n"/>
      <c r="E114" s="99" t="n"/>
      <c r="F114" s="99" t="n"/>
      <c r="G114" s="99" t="n"/>
      <c r="H114" s="99" t="n"/>
    </row>
    <row r="115" ht="26" customHeight="1">
      <c r="B115" s="64" t="inlineStr">
        <is>
          <t>Fórmula</t>
        </is>
      </c>
      <c r="C115" s="100" t="inlineStr">
        <is>
          <t>Q (m³/dia) = Carga (kg/dia) × 1000 ÷ C (mg/L)</t>
        </is>
      </c>
      <c r="D115" s="100" t="n"/>
      <c r="E115" s="100" t="n"/>
      <c r="F115" s="100" t="n"/>
      <c r="G115" s="100" t="n"/>
      <c r="H115" s="100" t="n"/>
    </row>
    <row r="116" ht="19" customHeight="1">
      <c r="B116" s="64" t="inlineStr">
        <is>
          <t>O que é cada variável</t>
        </is>
      </c>
      <c r="C116" s="25" t="inlineStr">
        <is>
          <t>Q = vazão   |   Carga = massa por dia   |   C = concentração   |   1000 = converte kg em g</t>
        </is>
      </c>
      <c r="D116" s="25" t="n"/>
      <c r="E116" s="25" t="n"/>
      <c r="F116" s="25" t="n"/>
      <c r="G116" s="25" t="n"/>
      <c r="H116" s="25" t="n"/>
    </row>
    <row r="117" ht="21" customHeight="1">
      <c r="B117" s="64" t="inlineStr">
        <is>
          <t>Valores inseridos</t>
        </is>
      </c>
      <c r="C117" s="25" t="str">
        <f>"Parâmetro: "&amp;$G$101&amp;"   |   "&amp;"Carga = "&amp;$L$53&amp;" "&amp;"kg/dia"&amp;"   |   "&amp;"C = "&amp;$L$51&amp;" "&amp;"mg/L"</f>
        <v>Parâmetro: DBO   |   Carga = 72 kg/dia   |   C = 180 mg/L</v>
      </c>
      <c r="D117" s="25" t="n"/>
      <c r="E117" s="25" t="n"/>
      <c r="F117" s="25" t="n"/>
      <c r="G117" s="25" t="n"/>
      <c r="H117" s="25" t="n"/>
    </row>
    <row r="118" ht="21" customHeight="1">
      <c r="B118" s="64" t="inlineStr">
        <is>
          <t>Substituição</t>
        </is>
      </c>
      <c r="C118" s="25" t="str">
        <f>IF($L$49,"Q = "&amp;$L$53&amp;" kg/dia × 1000 ÷ "&amp;$L$51&amp;" mg/L = "&amp;$L$55&amp;" m³/dia","Aguardando dados válidos para montar a conta.")</f>
        <v>Q = 72 kg/dia × 1000 ÷ 180 mg/L = 400 m³/dia</v>
      </c>
      <c r="D118" s="25" t="n"/>
      <c r="E118" s="25" t="n"/>
      <c r="F118" s="25" t="n"/>
      <c r="G118" s="25" t="n"/>
      <c r="H118" s="25" t="n"/>
    </row>
    <row r="119" ht="21" customHeight="1">
      <c r="B119" s="64" t="inlineStr">
        <is>
          <t>Resultado</t>
        </is>
      </c>
      <c r="C119" s="25" t="str">
        <f>IF($L$49,"Q = "&amp;$L$55&amp;" m³/dia = "&amp;$L$59&amp;" m³/h = "&amp;$L$57&amp;" L/s","Aguardando dados válidos para montar a conta.")</f>
        <v>Q = 400 m³/dia = 16,667 m³/h = 4,6296 L/s</v>
      </c>
      <c r="D119" s="25" t="n"/>
      <c r="E119" s="25" t="n"/>
      <c r="F119" s="25" t="n"/>
      <c r="G119" s="25" t="n"/>
      <c r="H119" s="25" t="n"/>
    </row>
    <row r="120" ht="10" customHeight="1"/>
    <row r="121" ht="24" customHeight="1">
      <c r="B121" s="99" t="inlineStr">
        <is>
          <t>F · EXEMPLO E ORIENTAÇÃO</t>
        </is>
      </c>
      <c r="C121" s="99" t="n"/>
      <c r="D121" s="99" t="n"/>
      <c r="E121" s="99" t="n"/>
      <c r="F121" s="99" t="n"/>
      <c r="G121" s="99" t="n"/>
      <c r="H121" s="99" t="n"/>
    </row>
    <row r="122" ht="58" customHeight="1">
      <c r="B122" s="64" t="inlineStr">
        <is>
          <t>Exemplos desta ferramenta</t>
        </is>
      </c>
      <c r="C122" s="25" t="inlineStr">
        <is>
          <t>Exemplo 01: Uma amostra indica DBO de 180 mg/L e o relatório informa carga de 72 kg/dia. Qual vazão é coerente com esses dados?
Exemplo 02: Um efluente leva 6 kg/dia de fósforo total com concentração de 8 mg/L. Qual é a vazão?
Escolha o exemplo na lista Cenário para ver a resolução completa.</t>
        </is>
      </c>
      <c r="D122" s="25" t="n"/>
      <c r="E122" s="25" t="n"/>
      <c r="F122" s="25" t="n"/>
      <c r="G122" s="25" t="n"/>
      <c r="H122" s="25" t="n"/>
    </row>
    <row r="123" ht="32" customHeight="1">
      <c r="B123" s="64" t="inlineStr">
        <is>
          <t>Como interpretar</t>
        </is>
      </c>
      <c r="C123" s="25" t="inlineStr">
        <is>
          <t>O resultado é a vazão que fecha a conta entre massa e concentração. Se ela for muito diferente da vazão medida, algum dado está inconsistente.</t>
        </is>
      </c>
      <c r="D123" s="25" t="n"/>
      <c r="E123" s="25" t="n"/>
      <c r="F123" s="25" t="n"/>
      <c r="G123" s="25" t="n"/>
      <c r="H123" s="25" t="n"/>
    </row>
    <row r="124" ht="19" customHeight="1">
      <c r="B124" s="101" t="inlineStr">
        <is>
          <t>⚠ Erro comum</t>
        </is>
      </c>
      <c r="C124" s="102" t="inlineStr">
        <is>
          <t>Inverter a fórmula e dividir a concentração pela carga.</t>
        </is>
      </c>
      <c r="D124" s="102" t="n"/>
      <c r="E124" s="102" t="n"/>
      <c r="F124" s="102" t="n"/>
      <c r="G124" s="102" t="n"/>
      <c r="H124" s="102" t="n"/>
    </row>
    <row r="125" ht="19" customHeight="1">
      <c r="B125" s="103" t="inlineStr">
        <is>
          <t>💡 Dica prática</t>
        </is>
      </c>
      <c r="C125" s="104" t="inlineStr">
        <is>
          <t>Esse cálculo ajuda a estimar a vazão quando só a carga e a concentração são conhecidas.</t>
        </is>
      </c>
      <c r="D125" s="104" t="n"/>
      <c r="E125" s="104" t="n"/>
      <c r="F125" s="104" t="n"/>
      <c r="G125" s="104" t="n"/>
      <c r="H125" s="104" t="n"/>
    </row>
    <row r="126" ht="14" customHeight="1"/>
    <row r="127" ht="14" customHeight="1"/>
    <row r="128" ht="30" customHeight="1">
      <c r="B128" s="33" t="inlineStr">
        <is>
          <t>Lembrete: os resultados são cálculos teóricos de apoio ao estudo. Confira unidades e hipóteses antes de usar em trabalhos, relatórios ou no estágio.</t>
        </is>
      </c>
      <c r="C128" s="33" t="n"/>
      <c r="D128" s="33" t="n"/>
      <c r="E128" s="33" t="n"/>
      <c r="F128" s="33" t="n"/>
      <c r="G128" s="33" t="n"/>
      <c r="H128" s="3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03">
    <mergeCell ref="C117:H117"/>
    <mergeCell ref="E61:H61"/>
    <mergeCell ref="C9:H9"/>
    <mergeCell ref="C118:H118"/>
    <mergeCell ref="B24:H24"/>
    <mergeCell ref="F17:H17"/>
    <mergeCell ref="E97:H97"/>
    <mergeCell ref="E73:F73"/>
    <mergeCell ref="C46:H46"/>
    <mergeCell ref="E109:H109"/>
    <mergeCell ref="C52:H52"/>
    <mergeCell ref="C48:H48"/>
    <mergeCell ref="E71:H71"/>
    <mergeCell ref="C81:H81"/>
    <mergeCell ref="C125:H125"/>
    <mergeCell ref="B27:H27"/>
    <mergeCell ref="B58:H58"/>
    <mergeCell ref="C13:H13"/>
    <mergeCell ref="B2:H2"/>
    <mergeCell ref="E36:F36"/>
    <mergeCell ref="C87:H87"/>
    <mergeCell ref="B60:H60"/>
    <mergeCell ref="C15:H15"/>
    <mergeCell ref="B72:C75"/>
    <mergeCell ref="C89:H89"/>
    <mergeCell ref="C116:H116"/>
    <mergeCell ref="C88:H88"/>
    <mergeCell ref="B21:G21"/>
    <mergeCell ref="C3:D3"/>
    <mergeCell ref="E3:F3"/>
    <mergeCell ref="C10:H10"/>
    <mergeCell ref="C41:H41"/>
    <mergeCell ref="C97:D97"/>
    <mergeCell ref="E75:H75"/>
    <mergeCell ref="D36:D39"/>
    <mergeCell ref="D107:D110"/>
    <mergeCell ref="C115:H115"/>
    <mergeCell ref="E38:F38"/>
    <mergeCell ref="B79:H79"/>
    <mergeCell ref="K1:L1"/>
    <mergeCell ref="B7:H7"/>
    <mergeCell ref="B36:C39"/>
    <mergeCell ref="C122:H122"/>
    <mergeCell ref="B121:H121"/>
    <mergeCell ref="C19:H19"/>
    <mergeCell ref="B96:H96"/>
    <mergeCell ref="B105:H105"/>
    <mergeCell ref="B43:H43"/>
    <mergeCell ref="C83:H83"/>
    <mergeCell ref="C14:H14"/>
    <mergeCell ref="B93:G93"/>
    <mergeCell ref="B34:H34"/>
    <mergeCell ref="B99:H99"/>
    <mergeCell ref="C54:H54"/>
    <mergeCell ref="E110:H110"/>
    <mergeCell ref="C40:H40"/>
    <mergeCell ref="C124:H124"/>
    <mergeCell ref="E25:H25"/>
    <mergeCell ref="B5:H5"/>
    <mergeCell ref="C90:H90"/>
    <mergeCell ref="E107:F107"/>
    <mergeCell ref="B94:H94"/>
    <mergeCell ref="C123:H123"/>
    <mergeCell ref="C76:H76"/>
    <mergeCell ref="C119:H119"/>
    <mergeCell ref="C8:H8"/>
    <mergeCell ref="C82:H82"/>
    <mergeCell ref="E39:H39"/>
    <mergeCell ref="E108:F108"/>
    <mergeCell ref="B35:D35"/>
    <mergeCell ref="C53:H53"/>
    <mergeCell ref="B70:H70"/>
    <mergeCell ref="C111:H111"/>
    <mergeCell ref="C61:D61"/>
    <mergeCell ref="E72:F72"/>
    <mergeCell ref="C45:H45"/>
    <mergeCell ref="B128:H128"/>
    <mergeCell ref="C112:H112"/>
    <mergeCell ref="C47:H47"/>
    <mergeCell ref="C44:H44"/>
    <mergeCell ref="C84:H84"/>
    <mergeCell ref="B107:C110"/>
    <mergeCell ref="B57:G57"/>
    <mergeCell ref="C80:H80"/>
    <mergeCell ref="B114:H114"/>
    <mergeCell ref="B63:H63"/>
    <mergeCell ref="C51:H51"/>
    <mergeCell ref="B50:H50"/>
    <mergeCell ref="C25:D25"/>
    <mergeCell ref="C17:E17"/>
    <mergeCell ref="E106:H106"/>
    <mergeCell ref="D72:D75"/>
    <mergeCell ref="E74:F74"/>
    <mergeCell ref="B22:H22"/>
    <mergeCell ref="E35:H35"/>
    <mergeCell ref="B12:H12"/>
    <mergeCell ref="B86:H86"/>
    <mergeCell ref="C18:H18"/>
    <mergeCell ref="B106:D106"/>
    <mergeCell ref="C77:H77"/>
    <mergeCell ref="B1:H1"/>
    <mergeCell ref="B71:D71"/>
    <mergeCell ref="E37:F37"/>
  </mergeCells>
  <conditionalFormatting sqref="B21:H21">
    <cfRule type="expression" priority="1" dxfId="0" stopIfTrue="0">
      <formula>$L$3=1</formula>
    </cfRule>
  </conditionalFormatting>
  <conditionalFormatting sqref="C29:C32">
    <cfRule type="expression" priority="2" dxfId="1" stopIfTrue="0">
      <formula>$L$4=1</formula>
    </cfRule>
  </conditionalFormatting>
  <conditionalFormatting sqref="D29:D32">
    <cfRule type="expression" priority="3" dxfId="1" stopIfTrue="0">
      <formula>$L$4=2</formula>
    </cfRule>
  </conditionalFormatting>
  <conditionalFormatting sqref="E29:E32">
    <cfRule type="expression" priority="4" dxfId="2" stopIfTrue="0">
      <formula>$L$4=3</formula>
    </cfRule>
  </conditionalFormatting>
  <conditionalFormatting sqref="B36:C39">
    <cfRule type="expression" priority="5" dxfId="3" stopIfTrue="0">
      <formula>NOT($L$12)</formula>
    </cfRule>
  </conditionalFormatting>
  <conditionalFormatting sqref="C41:H41">
    <cfRule type="expression" priority="6" dxfId="4" stopIfTrue="0">
      <formula>$L$12</formula>
    </cfRule>
    <cfRule type="expression" priority="7" dxfId="5" stopIfTrue="0">
      <formula>NOT($L$12)</formula>
    </cfRule>
  </conditionalFormatting>
  <conditionalFormatting sqref="B57:H57">
    <cfRule type="expression" priority="8" dxfId="0" stopIfTrue="0">
      <formula>$L$3=2</formula>
    </cfRule>
  </conditionalFormatting>
  <conditionalFormatting sqref="C65:C68">
    <cfRule type="expression" priority="9" dxfId="1" stopIfTrue="0">
      <formula>$L$26=1</formula>
    </cfRule>
  </conditionalFormatting>
  <conditionalFormatting sqref="D65:D68">
    <cfRule type="expression" priority="10" dxfId="1" stopIfTrue="0">
      <formula>$L$26=2</formula>
    </cfRule>
  </conditionalFormatting>
  <conditionalFormatting sqref="E65:E68">
    <cfRule type="expression" priority="11" dxfId="2" stopIfTrue="0">
      <formula>$L$26=3</formula>
    </cfRule>
  </conditionalFormatting>
  <conditionalFormatting sqref="B72:C75">
    <cfRule type="expression" priority="12" dxfId="3" stopIfTrue="0">
      <formula>NOT($L$33)</formula>
    </cfRule>
  </conditionalFormatting>
  <conditionalFormatting sqref="C77:H77">
    <cfRule type="expression" priority="13" dxfId="4" stopIfTrue="0">
      <formula>$L$33</formula>
    </cfRule>
    <cfRule type="expression" priority="14" dxfId="5" stopIfTrue="0">
      <formula>NOT($L$33)</formula>
    </cfRule>
  </conditionalFormatting>
  <conditionalFormatting sqref="B93:H93">
    <cfRule type="expression" priority="15" dxfId="0" stopIfTrue="0">
      <formula>$L$3=3</formula>
    </cfRule>
  </conditionalFormatting>
  <conditionalFormatting sqref="C101:C103">
    <cfRule type="expression" priority="16" dxfId="1" stopIfTrue="0">
      <formula>$L$43=1</formula>
    </cfRule>
  </conditionalFormatting>
  <conditionalFormatting sqref="D101:D103">
    <cfRule type="expression" priority="17" dxfId="1" stopIfTrue="0">
      <formula>$L$43=2</formula>
    </cfRule>
  </conditionalFormatting>
  <conditionalFormatting sqref="E101:E103">
    <cfRule type="expression" priority="18" dxfId="2" stopIfTrue="0">
      <formula>$L$43=3</formula>
    </cfRule>
  </conditionalFormatting>
  <conditionalFormatting sqref="B107:C110">
    <cfRule type="expression" priority="19" dxfId="3" stopIfTrue="0">
      <formula>NOT($L$49)</formula>
    </cfRule>
  </conditionalFormatting>
  <conditionalFormatting sqref="C112:H112">
    <cfRule type="expression" priority="20" dxfId="4" stopIfTrue="0">
      <formula>$L$49</formula>
    </cfRule>
    <cfRule type="expression" priority="21" dxfId="5" stopIfTrue="0">
      <formula>NOT($L$49)</formula>
    </cfRule>
  </conditionalFormatting>
  <conditionalFormatting sqref="C19:H19">
    <cfRule type="expression" priority="22" dxfId="4" stopIfTrue="0">
      <formula>IFERROR(CHOOSE($L$3,$L$12,$L$33,$L$49),FALSE)</formula>
    </cfRule>
    <cfRule type="expression" priority="23" dxfId="5" stopIfTrue="0">
      <formula>NOT(IFERROR(CHOOSE($L$3,$L$12,$L$33,$L$49),FALSE))</formula>
    </cfRule>
  </conditionalFormatting>
  <dataValidations count="15">
    <dataValidation sqref="C17" showDropDown="0" showInputMessage="1" showErrorMessage="1" allowBlank="1" errorTitle="Opção inválida" error="Escolha uma ferramenta da lista." promptTitle="Escolha a ferramenta" prompt="A ferramenta escolhida fica destacada em verde e o resultado dela aparece aqui ao lado." type="list">
      <formula1>"Ferramenta 1: Calcular carga,Ferramenta 2: Descobrir concentração,Ferramenta 3: Descobrir vazão"</formula1>
    </dataValidation>
    <dataValidation sqref="C25" showDropDown="0" showInputMessage="1" showErrorMessage="1" allowBlank="1" errorTitle="Opção inválida" error="Escolha Exemplo 01, Exemplo 02 ou Meu cálculo." promptTitle="Escolha o cenário" prompt="Exemplo 01 e Exemplo 02 usam dados prontos. Meu cálculo usa os valores que você digitar na coluna amarela MEU CÁLCULO." type="list">
      <formula1>"Exemplo 01,Exemplo 02,Meu cálculo"</formula1>
    </dataValidation>
    <dataValidation sqref="E29" showDropDown="0" showInputMessage="1" showErrorMessage="1" allowBlank="1" errorTitle="Opção inválida" error="Escolha uma opção da lista." promptTitle="Parâmetro" prompt="Escolha o parâmetro (serve para identificar o resultado)." type="list">
      <formula1>"DBO,DQO,SST,Nitrogênio total,Fósforo total,Óleos e graxas,Outro parâmetro"</formula1>
    </dataValidation>
    <dataValidation sqref="E30" showDropDown="0" showInputMessage="1" showErrorMessage="1" allowBlank="1" errorTitle="Valor inválido" error="Digite um número maior ou igual a zero, sem a unidade. Use vírgula para decimais (ex.: 0,5)." promptTitle="Vazão" prompt="Vazão da corrente. Ex.: 400" type="decimal" operator="greaterThanOrEqual">
      <formula1>0</formula1>
    </dataValidation>
    <dataValidation sqref="E31" showDropDown="0" showInputMessage="1" showErrorMessage="1" allowBlank="1" errorTitle="Opção inválida" error="Escolha uma opção da lista." promptTitle="Unidade da vazão" prompt="Escolha m³/dia, m³/h ou L/s." type="list">
      <formula1>"m³/dia,m³/h,L/s"</formula1>
    </dataValidation>
    <dataValidation sqref="E32" showDropDown="0" showInputMessage="1" showErrorMessage="1" allowBlank="1" errorTitle="Valor inválido" error="Digite um número maior ou igual a zero, sem a unidade. Use vírgula para decimais (ex.: 0,5)." promptTitle="Concentração" prompt="Concentração do parâmetro em mg/L. Ex.: 180" type="decimal" operator="greaterThanOrEqual">
      <formula1>0</formula1>
    </dataValidation>
    <dataValidation sqref="C61" showDropDown="0" showInputMessage="1" showErrorMessage="1" allowBlank="1" errorTitle="Opção inválida" error="Escolha Exemplo 01, Exemplo 02 ou Meu cálculo." promptTitle="Escolha o cenário" prompt="Exemplo 01 e Exemplo 02 usam dados prontos. Meu cálculo usa os valores que você digitar na coluna amarela MEU CÁLCULO." type="list">
      <formula1>"Exemplo 01,Exemplo 02,Meu cálculo"</formula1>
    </dataValidation>
    <dataValidation sqref="E65" showDropDown="0" showInputMessage="1" showErrorMessage="1" allowBlank="1" errorTitle="Opção inválida" error="Escolha uma opção da lista." promptTitle="Parâmetro" prompt="Escolha o parâmetro (serve para identificar o resultado)." type="list">
      <formula1>"DBO,DQO,SST,Nitrogênio total,Fósforo total,Óleos e graxas,Outro parâmetro"</formula1>
    </dataValidation>
    <dataValidation sqref="E66" showDropDown="0" showInputMessage="1" showErrorMessage="1" allowBlank="1" errorTitle="Valor inválido" error="Digite um número maior ou igual a zero, sem a unidade. Use vírgula para decimais (ex.: 0,5)." promptTitle="Carga" prompt="Carga do parâmetro em kg/dia. Ex.: 24" type="decimal" operator="greaterThanOrEqual">
      <formula1>0</formula1>
    </dataValidation>
    <dataValidation sqref="E67" showDropDown="0" showInputMessage="1" showErrorMessage="1" allowBlank="1" errorTitle="Valor inválido" error="Digite um número maior ou igual a zero, sem a unidade. Use vírgula para decimais (ex.: 0,5)." promptTitle="Vazão" prompt="Vazão da corrente. Ex.: 400" type="decimal" operator="greaterThanOrEqual">
      <formula1>0</formula1>
    </dataValidation>
    <dataValidation sqref="E68" showDropDown="0" showInputMessage="1" showErrorMessage="1" allowBlank="1" errorTitle="Opção inválida" error="Escolha uma opção da lista." promptTitle="Unidade da vazão" prompt="Escolha m³/dia, m³/h ou L/s." type="list">
      <formula1>"m³/dia,m³/h,L/s"</formula1>
    </dataValidation>
    <dataValidation sqref="C97" showDropDown="0" showInputMessage="1" showErrorMessage="1" allowBlank="1" errorTitle="Opção inválida" error="Escolha Exemplo 01, Exemplo 02 ou Meu cálculo." promptTitle="Escolha o cenário" prompt="Exemplo 01 e Exemplo 02 usam dados prontos. Meu cálculo usa os valores que você digitar na coluna amarela MEU CÁLCULO." type="list">
      <formula1>"Exemplo 01,Exemplo 02,Meu cálculo"</formula1>
    </dataValidation>
    <dataValidation sqref="E101" showDropDown="0" showInputMessage="1" showErrorMessage="1" allowBlank="1" errorTitle="Opção inválida" error="Escolha uma opção da lista." promptTitle="Parâmetro" prompt="Escolha o parâmetro (serve para identificar o resultado)." type="list">
      <formula1>"DBO,DQO,SST,Nitrogênio total,Fósforo total,Óleos e graxas,Outro parâmetro"</formula1>
    </dataValidation>
    <dataValidation sqref="E102" showDropDown="0" showInputMessage="1" showErrorMessage="1" allowBlank="1" errorTitle="Valor inválido" error="Digite um número maior ou igual a zero, sem a unidade. Use vírgula para decimais (ex.: 0,5)." promptTitle="Carga" prompt="Carga do parâmetro em kg/dia. Ex.: 72" type="decimal" operator="greaterThanOrEqual">
      <formula1>0</formula1>
    </dataValidation>
    <dataValidation sqref="E103" showDropDown="0" showInputMessage="1" showErrorMessage="1" allowBlank="1" errorTitle="Valor inválido" error="Digite um número maior ou igual a zero, sem a unidade. Use vírgula para decimais (ex.: 0,5)." promptTitle="Concentração" prompt="Concentração do parâmetro em mg/L. Ex.: 180" type="decimal" operator="greaterThanOrEqual">
      <formula1>0</formula1>
    </dataValidation>
  </dataValidations>
  <hyperlinks>
    <hyperlink ref="B3" location="'00 — Painel Inicial'!A1" tooltip="Ir para 00 — Painel Inicial" display="🏠  Painel"/>
    <hyperlink ref="C3" location="'01 — Comece Aqui'!A1" tooltip="Ir para 01 — Comece Aqui" display="📘  Guia"/>
    <hyperlink ref="E3" location="'08 — Exemplos Resolvidos'!A1" tooltip="Ir para 08 — Exemplos Resolvidos" display="📚  Exemplos"/>
    <hyperlink ref="G3" location="'02 — Vazão e Hidráulica'!A1" tooltip="Ir para 02 — Vazão e Hidráulica" display="◀ Anterior"/>
    <hyperlink ref="H3" location="'04 — Eficiência de Tratamento'!A1" tooltip="Ir para 04 — Eficiência de Tratamento" display="Próxima aba ▶"/>
    <hyperlink ref="B13" location="'03 — Carga Poluidora'!B21" tooltip="Ir para 03 — Carga Poluidora" display="▶ Ferramenta 1"/>
    <hyperlink ref="B14" location="'03 — Carga Poluidora'!B57" tooltip="Ir para 03 — Carga Poluidora" display="▶ Ferramenta 2"/>
    <hyperlink ref="B15" location="'03 — Carga Poluidora'!B93" tooltip="Ir para 03 — Carga Poluidora" display="▶ Ferramenta 3"/>
    <hyperlink ref="H21" location="'03 — Carga Poluidora'!A1" tooltip="Ir para 03 — Carga Poluidora" display="▲ Voltar ao topo"/>
    <hyperlink ref="H57" location="'03 — Carga Poluidora'!A1" tooltip="Ir para 03 — Carga Poluidora" display="▲ Voltar ao topo"/>
    <hyperlink ref="H93" location="'03 — Carga Poluidora'!A1" tooltip="Ir para 03 — Carga Poluidora" display="▲ Voltar ao topo"/>
  </hyperlinks>
  <pageMargins left="0.4" right="0.4" top="0.5" bottom="0.5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L126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4" customWidth="1" min="5" max="5"/>
    <col width="10" customWidth="1" min="6" max="6"/>
    <col width="13" customWidth="1" min="7" max="7"/>
    <col width="36" customWidth="1" min="8" max="8"/>
    <col width="2" customWidth="1" min="9" max="9"/>
    <col width="4" customWidth="1" min="10" max="10"/>
    <col width="34" customWidth="1" min="11" max="11"/>
    <col width="18" customWidth="1" min="12" max="12"/>
  </cols>
  <sheetData>
    <row r="1" ht="40" customHeight="1">
      <c r="A1" s="106" t="n"/>
      <c r="B1" s="36" t="inlineStr">
        <is>
          <t>📉  CALCULADORA 03  ·  EFICIÊNCIA DE TRATAMENTO</t>
        </is>
      </c>
      <c r="C1" s="36" t="n"/>
      <c r="D1" s="36" t="n"/>
      <c r="E1" s="36" t="n"/>
      <c r="F1" s="36" t="n"/>
      <c r="G1" s="36" t="n"/>
      <c r="H1" s="36" t="n"/>
      <c r="I1" s="106" t="n"/>
      <c r="K1" s="57" t="inlineStr">
        <is>
          <t>ÁREA TÉCNICA · cálculos auxiliares (não editar)</t>
        </is>
      </c>
      <c r="L1" s="57" t="n"/>
    </row>
    <row r="2" ht="18" customHeight="1">
      <c r="A2" s="106" t="n"/>
      <c r="B2" s="37" t="inlineStr">
        <is>
          <t>KIT DE 6 CALCULADORAS AUTOMÁTICAS DE ENGENHARIA AMBIENTAL</t>
        </is>
      </c>
      <c r="C2" s="37" t="n"/>
      <c r="D2" s="37" t="n"/>
      <c r="E2" s="37" t="n"/>
      <c r="F2" s="37" t="n"/>
      <c r="G2" s="37" t="n"/>
      <c r="H2" s="37" t="n"/>
      <c r="I2" s="106" t="n"/>
      <c r="K2" s="58" t="inlineStr">
        <is>
          <t>Descrição</t>
        </is>
      </c>
      <c r="L2" s="59" t="inlineStr">
        <is>
          <t>Valor</t>
        </is>
      </c>
    </row>
    <row r="3" ht="26" customHeight="1">
      <c r="B3" s="38" t="inlineStr">
        <is>
          <t>🏠  Painel</t>
        </is>
      </c>
      <c r="C3" s="38" t="inlineStr">
        <is>
          <t>📘  Guia</t>
        </is>
      </c>
      <c r="D3" s="38" t="n"/>
      <c r="E3" s="38" t="inlineStr">
        <is>
          <t>📚  Exemplos</t>
        </is>
      </c>
      <c r="F3" s="38" t="n"/>
      <c r="G3" s="60" t="inlineStr">
        <is>
          <t>◀ Anterior</t>
        </is>
      </c>
      <c r="H3" s="60" t="inlineStr">
        <is>
          <t>Próxima aba ▶</t>
        </is>
      </c>
      <c r="K3" s="61" t="inlineStr">
        <is>
          <t>ferramenta escolhida (número)</t>
        </is>
      </c>
      <c r="L3" s="61">
        <f>IFERROR(MATCH($C$16,{"Ferramenta 1: Eficiência por concentração","Ferramenta 2: Eficiência por carga"},0),0)</f>
        <v>1</v>
      </c>
    </row>
    <row r="4" ht="10" customHeight="1">
      <c r="K4" s="61" t="inlineStr">
        <is>
          <t>índice do cenário (1, 2 ou 3)</t>
        </is>
      </c>
      <c r="L4" s="61">
        <f>IFERROR(MATCH($C$24,{"Exemplo 01","Exemplo 02","Meu cálculo"},0),0)</f>
        <v>1</v>
      </c>
    </row>
    <row r="5" ht="32" customHeight="1">
      <c r="B5" s="62" t="inlineStr">
        <is>
          <t>COMO USAR:   ① Escolha a ferramenta abaixo   ② Escolha o cenário na lista amarela   ③ Para usar seus dados, escolha Meu cálculo e digite na coluna amarela   ④ Veja o resultado no card verde   ⑤ Confira a conta em ENTENDA O CÁLCULO</t>
        </is>
      </c>
      <c r="C5" s="62" t="n"/>
      <c r="D5" s="62" t="n"/>
      <c r="E5" s="62" t="n"/>
      <c r="F5" s="62" t="n"/>
      <c r="G5" s="62" t="n"/>
      <c r="H5" s="62" t="n"/>
      <c r="K5" s="61" t="inlineStr">
        <is>
          <t>[Eficiência por concentração] dif</t>
        </is>
      </c>
      <c r="L5" s="61">
        <f>IFERROR($G$29-$G$30,"")</f>
        <v>200</v>
      </c>
    </row>
    <row r="6" ht="8" customHeight="1">
      <c r="K6" s="61" t="inlineStr">
        <is>
          <t>[Eficiência por concentração] E</t>
        </is>
      </c>
      <c r="L6" s="61">
        <f>IFERROR($L$5/$G$29*100,"")</f>
        <v>80</v>
      </c>
    </row>
    <row r="7" ht="24" customHeight="1">
      <c r="B7" s="63" t="inlineStr">
        <is>
          <t>A · IDENTIFICAÇÃO</t>
        </is>
      </c>
      <c r="C7" s="63" t="n"/>
      <c r="D7" s="63" t="n"/>
      <c r="E7" s="63" t="n"/>
      <c r="F7" s="63" t="n"/>
      <c r="G7" s="63" t="n"/>
      <c r="H7" s="63" t="n"/>
      <c r="K7" s="61" t="inlineStr">
        <is>
          <t>[Eficiência por concentração] Efr</t>
        </is>
      </c>
      <c r="L7" s="61">
        <f>IFERROR($L$5/$G$29,"")</f>
        <v>0.8</v>
      </c>
    </row>
    <row r="8" ht="32" customHeight="1">
      <c r="B8" s="64" t="inlineStr">
        <is>
          <t>O que calcula</t>
        </is>
      </c>
      <c r="C8" s="25" t="inlineStr">
        <is>
          <t>Quanto do poluente foi removido em um sistema de tratamento, em porcentagem, usando concentrações ou cargas.</t>
        </is>
      </c>
      <c r="D8" s="25" t="n"/>
      <c r="E8" s="25" t="n"/>
      <c r="F8" s="25" t="n"/>
      <c r="G8" s="25" t="n"/>
      <c r="H8" s="25" t="n"/>
      <c r="K8" s="61" t="inlineStr">
        <is>
          <t>[Eficiência por concentração] negE</t>
        </is>
      </c>
      <c r="L8" s="61">
        <f>IFERROR(-$L$6,"")</f>
        <v>-80</v>
      </c>
    </row>
    <row r="9" ht="32" customHeight="1">
      <c r="B9" s="64" t="inlineStr">
        <is>
          <t>Quando usar</t>
        </is>
      </c>
      <c r="C9" s="25" t="inlineStr">
        <is>
          <t>Avaliação de ETEs, reatores, decantadores, filtros e lagoas; relatórios de monitoramento e aulas práticas.</t>
        </is>
      </c>
      <c r="D9" s="25" t="n"/>
      <c r="E9" s="25" t="n"/>
      <c r="F9" s="25" t="n"/>
      <c r="G9" s="25" t="n"/>
      <c r="H9" s="25" t="n"/>
      <c r="K9" s="61" t="inlineStr">
        <is>
          <t>[Eficiência por concentração] rem</t>
        </is>
      </c>
      <c r="L9" s="61">
        <f>IFERROR($G$30/$G$29*100,"")</f>
        <v>20</v>
      </c>
    </row>
    <row r="10" ht="19" customHeight="1">
      <c r="B10" s="64" t="inlineStr">
        <is>
          <t>Exemplo prático</t>
        </is>
      </c>
      <c r="C10" s="25" t="inlineStr">
        <is>
          <t>DBO de 250 mg/L na entrada e 50 mg/L na saída: eficiência de 80%.</t>
        </is>
      </c>
      <c r="D10" s="25" t="n"/>
      <c r="E10" s="25" t="n"/>
      <c r="F10" s="25" t="n"/>
      <c r="G10" s="25" t="n"/>
      <c r="H10" s="25" t="n"/>
      <c r="K10" s="61" t="inlineStr">
        <is>
          <t>[Eficiência por concentração] mensagem de validação</t>
        </is>
      </c>
      <c r="L10" s="61" t="str">
        <f>IFERROR(IF($L$4=0,"Escolha um cenário na lista: Exemplo 01, Exemplo 02 ou Meu cálculo.",IF($G$29="","Informe a concentração de entrada para continuar.",IF(NOT(ISNUMBER($G$29)),"A concentração de entrada precisa ser um número. Confira o valor digitado.",IF($G$29&lt;=0,"A concentração de entrada deve ser maior que zero.",IF($G$30="","Informe a concentração de saída para continuar (digite 0 se for o caso).",IF(NOT(ISNUMBER($G$30)),"A concentração de saída precisa ser um número. Confira o valor digitado.",IF($G$30&lt;0,"A concentração de saída não pode ser negativa.",""))))))),"Resultado indisponível: existem dados inválidos.")</f>
        <v/>
      </c>
    </row>
    <row r="11" ht="10" customHeight="1">
      <c r="K11" s="61" t="inlineStr">
        <is>
          <t>[Eficiência por concentração] dados válidos?</t>
        </is>
      </c>
      <c r="L11" s="61" t="b">
        <f>$L$10=""</f>
        <v>1</v>
      </c>
    </row>
    <row r="12" ht="24" customHeight="1">
      <c r="B12" s="63" t="inlineStr">
        <is>
          <t>FERRAMENTAS DESTA CALCULADORA</t>
        </is>
      </c>
      <c r="C12" s="63" t="n"/>
      <c r="D12" s="63" t="n"/>
      <c r="E12" s="63" t="n"/>
      <c r="F12" s="63" t="n"/>
      <c r="G12" s="63" t="n"/>
      <c r="H12" s="63" t="n"/>
      <c r="K12" s="61" t="inlineStr">
        <is>
          <t>[Eficiência por concentração] E (arredondado)</t>
        </is>
      </c>
      <c r="L12" s="61">
        <f>IFERROR(ROUND($L$6,IF($L$6=0,0,4-INT(LOG10(ABS($L$6))))),"")</f>
        <v>80</v>
      </c>
    </row>
    <row r="13" ht="29.4" customHeight="1">
      <c r="B13" s="38" t="inlineStr">
        <is>
          <t>▶ Ferramenta 1</t>
        </is>
      </c>
      <c r="C13" s="65" t="inlineStr">
        <is>
          <t>Eficiência por concentração: Calcula a porcentagem de redução entre a concentração de entrada e a de saída de um sistema de tratamento.</t>
        </is>
      </c>
      <c r="D13" s="65" t="n"/>
      <c r="E13" s="65" t="n"/>
      <c r="F13" s="65" t="n"/>
      <c r="G13" s="65" t="n"/>
      <c r="H13" s="65" t="n"/>
      <c r="K13" s="61" t="inlineStr">
        <is>
          <t>[Eficiência por concentração] E (texto)</t>
        </is>
      </c>
      <c r="L13" s="61" t="str">
        <f>IF(ISNUMBER($L$12),FIXED($L$12,IF(ROUND($L$12,0)=$L$12,0,IF(ROUND($L$12,1)=$L$12,1,IF(ROUND($L$12,2)=$L$12,2,IF(ROUND($L$12,3)=$L$12,3,IF(ROUND($L$12,4)=$L$12,4,IF(ROUND($L$12,5)=$L$12,5,IF(ROUND($L$12,6)=$L$12,6,7)))))))),"?")</f>
        <v>80</v>
      </c>
    </row>
    <row r="14" ht="29.4" customHeight="1">
      <c r="B14" s="38" t="inlineStr">
        <is>
          <t>▶ Ferramenta 2</t>
        </is>
      </c>
      <c r="C14" s="65" t="inlineStr">
        <is>
          <t>Eficiência por carga: Calcula a remoção de massa poluidora. Use quando as vazões de entrada e de saída forem diferentes.</t>
        </is>
      </c>
      <c r="D14" s="65" t="n"/>
      <c r="E14" s="65" t="n"/>
      <c r="F14" s="65" t="n"/>
      <c r="G14" s="65" t="n"/>
      <c r="H14" s="65" t="n"/>
      <c r="K14" s="61" t="inlineStr">
        <is>
          <t>[Eficiência por concentração] negE (arredondado)</t>
        </is>
      </c>
      <c r="L14" s="61">
        <f>IFERROR(ROUND($L$8,IF($L$8=0,0,4-INT(LOG10(ABS($L$8))))),"")</f>
        <v>-80</v>
      </c>
    </row>
    <row r="15" ht="6" customHeight="1">
      <c r="K15" s="61" t="inlineStr">
        <is>
          <t>[Eficiência por concentração] negE (texto)</t>
        </is>
      </c>
      <c r="L15" s="61" t="str">
        <f>IF(ISNUMBER($L$14),FIXED($L$14,IF(ROUND($L$14,0)=$L$14,0,IF(ROUND($L$14,1)=$L$14,1,IF(ROUND($L$14,2)=$L$14,2,IF(ROUND($L$14,3)=$L$14,3,IF(ROUND($L$14,4)=$L$14,4,IF(ROUND($L$14,5)=$L$14,5,IF(ROUND($L$14,6)=$L$14,6,7)))))))),"?")</f>
        <v>-80</v>
      </c>
    </row>
    <row r="16" ht="30" customHeight="1">
      <c r="B16" s="47" t="inlineStr">
        <is>
          <t>Ferramenta escolhida ▼</t>
        </is>
      </c>
      <c r="C16" s="66" t="inlineStr">
        <is>
          <t>Ferramenta 1: Eficiência por concentração</t>
        </is>
      </c>
      <c r="D16" s="67" t="n"/>
      <c r="E16" s="67" t="n"/>
      <c r="F16" s="68" t="inlineStr">
        <is>
          <t>A ferramenta escolhida fica com o título em verde. Use os botões azuis acima para ir até ela.</t>
        </is>
      </c>
      <c r="G16" s="68" t="n"/>
      <c r="H16" s="68" t="n"/>
      <c r="K16" s="61" t="inlineStr">
        <is>
          <t>[Eficiência por concentração] Ce (arredondado)</t>
        </is>
      </c>
      <c r="L16" s="61">
        <f>IFERROR(ROUND($G$29,IF($G$29=0,0,4-INT(LOG10(ABS($G$29))))),"")</f>
        <v>250</v>
      </c>
    </row>
    <row r="17" ht="28" customHeight="1">
      <c r="B17" s="69" t="inlineStr">
        <is>
          <t>Resultado atual</t>
        </is>
      </c>
      <c r="C17" s="70" t="str">
        <f>IFERROR(CHOOSE($L$3,$L$22,$L$50),"—")</f>
        <v>80 %</v>
      </c>
      <c r="D17" s="70" t="n"/>
      <c r="E17" s="70" t="n"/>
      <c r="F17" s="70" t="n"/>
      <c r="G17" s="70" t="n"/>
      <c r="H17" s="70" t="n"/>
      <c r="K17" s="61" t="inlineStr">
        <is>
          <t>[Eficiência por concentração] Ce (texto)</t>
        </is>
      </c>
      <c r="L17" s="61" t="str">
        <f>IF(ISNUMBER($L$16),FIXED($L$16,IF(ROUND($L$16,0)=$L$16,0,IF(ROUND($L$16,1)=$L$16,1,IF(ROUND($L$16,2)=$L$16,2,IF(ROUND($L$16,3)=$L$16,3,IF(ROUND($L$16,4)=$L$16,4,IF(ROUND($L$16,5)=$L$16,5,IF(ROUND($L$16,6)=$L$16,6,7)))))))),"?")</f>
        <v>250</v>
      </c>
    </row>
    <row r="18" ht="21" customHeight="1">
      <c r="B18" s="69" t="inlineStr">
        <is>
          <t>Status</t>
        </is>
      </c>
      <c r="C18" s="71" t="str">
        <f>IFERROR(CHOOSE($L$3,C39,C93),"Escolha uma ferramenta.")</f>
        <v>✔ Dados válidos. Resultado calculado automaticamente.</v>
      </c>
      <c r="D18" s="71" t="n"/>
      <c r="E18" s="71" t="n"/>
      <c r="F18" s="71" t="n"/>
      <c r="G18" s="71" t="n"/>
      <c r="H18" s="71" t="n"/>
      <c r="K18" s="61" t="inlineStr">
        <is>
          <t>[Eficiência por concentração] Cs (arredondado)</t>
        </is>
      </c>
      <c r="L18" s="61">
        <f>IFERROR(ROUND($G$30,IF($G$30=0,0,4-INT(LOG10(ABS($G$30))))),"")</f>
        <v>50</v>
      </c>
    </row>
    <row r="19" ht="14" customHeight="1">
      <c r="K19" s="61" t="inlineStr">
        <is>
          <t>[Eficiência por concentração] Cs (texto)</t>
        </is>
      </c>
      <c r="L19" s="61" t="str">
        <f>IF(ISNUMBER($L$18),FIXED($L$18,IF(ROUND($L$18,0)=$L$18,0,IF(ROUND($L$18,1)=$L$18,1,IF(ROUND($L$18,2)=$L$18,2,IF(ROUND($L$18,3)=$L$18,3,IF(ROUND($L$18,4)=$L$18,4,IF(ROUND($L$18,5)=$L$18,5,IF(ROUND($L$18,6)=$L$18,6,7)))))))),"?")</f>
        <v>50</v>
      </c>
    </row>
    <row r="20" ht="30" customHeight="1">
      <c r="B20" s="72" t="inlineStr">
        <is>
          <t>FERRAMENTA 1  ·  EFICIÊNCIA POR CONCENTRAÇÃO</t>
        </is>
      </c>
      <c r="C20" s="72" t="n"/>
      <c r="D20" s="72" t="n"/>
      <c r="E20" s="72" t="n"/>
      <c r="F20" s="72" t="n"/>
      <c r="G20" s="72" t="n"/>
      <c r="H20" s="73" t="inlineStr">
        <is>
          <t>▲ Voltar ao topo</t>
        </is>
      </c>
      <c r="K20" s="61" t="inlineStr">
        <is>
          <t>[Eficiência por concentração] dif (arredondado)</t>
        </is>
      </c>
      <c r="L20" s="61">
        <f>IFERROR(ROUND($L$5,IF($L$5=0,0,4-INT(LOG10(ABS($L$5))))),"")</f>
        <v>200</v>
      </c>
    </row>
    <row r="21" ht="19" customHeight="1">
      <c r="B21" s="74" t="inlineStr">
        <is>
          <t>Calcula a porcentagem de redução entre a concentração de entrada e a de saída de um sistema de tratamento.</t>
        </is>
      </c>
      <c r="C21" s="74" t="n"/>
      <c r="D21" s="74" t="n"/>
      <c r="E21" s="74" t="n"/>
      <c r="F21" s="74" t="n"/>
      <c r="G21" s="74" t="n"/>
      <c r="H21" s="74" t="n"/>
      <c r="K21" s="61" t="inlineStr">
        <is>
          <t>[Eficiência por concentração] dif (texto)</t>
        </is>
      </c>
      <c r="L21" s="61" t="str">
        <f>IF(ISNUMBER($L$20),FIXED($L$20,IF(ROUND($L$20,0)=$L$20,0,IF(ROUND($L$20,1)=$L$20,1,IF(ROUND($L$20,2)=$L$20,2,IF(ROUND($L$20,3)=$L$20,3,IF(ROUND($L$20,4)=$L$20,4,IF(ROUND($L$20,5)=$L$20,5,IF(ROUND($L$20,6)=$L$20,6,7)))))))),"?")</f>
        <v>200</v>
      </c>
    </row>
    <row r="22" ht="6" customHeight="1">
      <c r="K22" s="61" t="inlineStr">
        <is>
          <t>[Eficiência por concentração] resumo</t>
        </is>
      </c>
      <c r="L22" s="61" t="str">
        <f>IF($L$11,$L$13&amp;" "&amp;"%","—")</f>
        <v>80 %</v>
      </c>
    </row>
    <row r="23" ht="20" customHeight="1">
      <c r="B23" s="75" t="inlineStr">
        <is>
          <t>B · ESCOLHA DO CENÁRIO</t>
        </is>
      </c>
      <c r="C23" s="75" t="n"/>
      <c r="D23" s="75" t="n"/>
      <c r="E23" s="75" t="n"/>
      <c r="F23" s="75" t="n"/>
      <c r="G23" s="75" t="n"/>
      <c r="H23" s="75" t="n"/>
      <c r="K23" s="61" t="inlineStr">
        <is>
          <t>índice do cenário (1, 2 ou 3)</t>
        </is>
      </c>
      <c r="L23" s="61">
        <f>IFERROR(MATCH($C$76,{"Exemplo 01","Exemplo 02","Meu cálculo"},0),0)</f>
        <v>1</v>
      </c>
    </row>
    <row r="24" ht="30" customHeight="1">
      <c r="B24" s="47" t="inlineStr">
        <is>
          <t>Cenário  ▼</t>
        </is>
      </c>
      <c r="C24" s="76" t="inlineStr">
        <is>
          <t>Exemplo 01</t>
        </is>
      </c>
      <c r="D24" s="77" t="n"/>
      <c r="E24" s="68" t="inlineStr">
        <is>
          <t>Exemplo 01 e Exemplo 02 usam dados prontos. Meu cálculo usa os valores que você digitar na coluna amarela.</t>
        </is>
      </c>
      <c r="F24" s="68" t="n"/>
      <c r="G24" s="68" t="n"/>
      <c r="H24" s="68" t="n"/>
      <c r="K24" s="61" t="inlineStr">
        <is>
          <t>[Eficiência por carga] Le</t>
        </is>
      </c>
      <c r="L24" s="61">
        <f>IFERROR($G$81*$G$82*0.001,"")</f>
        <v>100</v>
      </c>
    </row>
    <row r="25" ht="6" customHeight="1">
      <c r="K25" s="61" t="inlineStr">
        <is>
          <t>[Eficiência por carga] Ls</t>
        </is>
      </c>
      <c r="L25" s="61">
        <f>IFERROR($G$83*$G$84*0.001,"")</f>
        <v>20</v>
      </c>
    </row>
    <row r="26" ht="20" customHeight="1">
      <c r="B26" s="75" t="inlineStr">
        <is>
          <t>C · DADOS DE ENTRADA</t>
        </is>
      </c>
      <c r="C26" s="75" t="n"/>
      <c r="D26" s="75" t="n"/>
      <c r="E26" s="75" t="n"/>
      <c r="F26" s="75" t="n"/>
      <c r="G26" s="75" t="n"/>
      <c r="H26" s="75" t="n"/>
      <c r="K26" s="61" t="inlineStr">
        <is>
          <t>[Eficiência por carga] Lr</t>
        </is>
      </c>
      <c r="L26" s="61">
        <f>IFERROR($L$24-$L$25,"")</f>
        <v>80</v>
      </c>
    </row>
    <row r="27" ht="22" customHeight="1">
      <c r="B27" s="78" t="inlineStr">
        <is>
          <t>Variável</t>
        </is>
      </c>
      <c r="C27" s="78" t="inlineStr">
        <is>
          <t>Exemplo 01</t>
        </is>
      </c>
      <c r="D27" s="78" t="inlineStr">
        <is>
          <t>Exemplo 02</t>
        </is>
      </c>
      <c r="E27" s="79" t="inlineStr">
        <is>
          <t>MEU CÁLCULO</t>
        </is>
      </c>
      <c r="F27" s="78" t="inlineStr">
        <is>
          <t>Unidade</t>
        </is>
      </c>
      <c r="G27" s="80" t="inlineStr">
        <is>
          <t>Valor em uso</t>
        </is>
      </c>
      <c r="H27" s="78" t="inlineStr">
        <is>
          <t>Orientação de preenchimento</t>
        </is>
      </c>
      <c r="K27" s="61" t="inlineStr">
        <is>
          <t>[Eficiência por carga] E</t>
        </is>
      </c>
      <c r="L27" s="61">
        <f>IFERROR($L$26/$L$24*100,"")</f>
        <v>80</v>
      </c>
    </row>
    <row r="28" ht="22" customHeight="1">
      <c r="B28" s="47" t="inlineStr">
        <is>
          <t>Parâmetro</t>
        </is>
      </c>
      <c r="C28" s="81" t="inlineStr">
        <is>
          <t>DBO</t>
        </is>
      </c>
      <c r="D28" s="81" t="inlineStr">
        <is>
          <t>DQO</t>
        </is>
      </c>
      <c r="E28" s="82" t="inlineStr">
        <is>
          <t>DBO</t>
        </is>
      </c>
      <c r="F28" s="83" t="inlineStr">
        <is>
          <t>lista ▼</t>
        </is>
      </c>
      <c r="G28" s="84" t="str">
        <f>IF($L$4=1,C28,IF($L$4=2,D28,IF($L$4=3,IF(E28="","",E28),"")))</f>
        <v>DBO</v>
      </c>
      <c r="H28" s="85" t="inlineStr">
        <is>
          <t>Escolha o parâmetro avaliado.</t>
        </is>
      </c>
      <c r="K28" s="61" t="inlineStr">
        <is>
          <t>[Eficiência por carga] negE</t>
        </is>
      </c>
      <c r="L28" s="61">
        <f>IFERROR(-$L$27,"")</f>
        <v>-80</v>
      </c>
    </row>
    <row r="29" ht="22" customHeight="1">
      <c r="B29" s="47" t="inlineStr">
        <is>
          <t>Concentração de entrada</t>
        </is>
      </c>
      <c r="C29" s="81" t="n">
        <v>250</v>
      </c>
      <c r="D29" s="81" t="n">
        <v>600</v>
      </c>
      <c r="E29" s="82" t="n"/>
      <c r="F29" s="83" t="inlineStr">
        <is>
          <t>mg/L</t>
        </is>
      </c>
      <c r="G29" s="84">
        <f>IF($L$4=1,C29,IF($L$4=2,D29,IF($L$4=3,IF(E29="","",E29),"")))</f>
        <v>250</v>
      </c>
      <c r="H29" s="85" t="inlineStr">
        <is>
          <t>Concentração antes do tratamento. Ex.: 250</t>
        </is>
      </c>
      <c r="K29" s="61" t="inlineStr">
        <is>
          <t>[Eficiência por carga] Ec</t>
        </is>
      </c>
      <c r="L29" s="61">
        <f>IFERROR(($G$82-$G$84)/$G$82*100,"")</f>
        <v>75</v>
      </c>
    </row>
    <row r="30" ht="22" customHeight="1">
      <c r="B30" s="47" t="inlineStr">
        <is>
          <t>Concentração de saída</t>
        </is>
      </c>
      <c r="C30" s="81" t="n">
        <v>50</v>
      </c>
      <c r="D30" s="81" t="n">
        <v>180</v>
      </c>
      <c r="E30" s="82" t="n"/>
      <c r="F30" s="83" t="inlineStr">
        <is>
          <t>mg/L</t>
        </is>
      </c>
      <c r="G30" s="84">
        <f>IF($L$4=1,C30,IF($L$4=2,D30,IF($L$4=3,IF(E30="","",E30),"")))</f>
        <v>50</v>
      </c>
      <c r="H30" s="85" t="inlineStr">
        <is>
          <t>Concentração depois do tratamento. Ex.: 50</t>
        </is>
      </c>
      <c r="K30" s="61" t="inlineStr">
        <is>
          <t>[Eficiência por carga] mensagem de validação</t>
        </is>
      </c>
      <c r="L30" s="61" t="str">
        <f>IFERROR(IF($L$23=0,"Escolha um cenário na lista: Exemplo 01, Exemplo 02 ou Meu cálculo.",IF($G$81="","Informe a vazão de entrada para continuar.",IF(NOT(ISNUMBER($G$81)),"A vazão de entrada precisa ser um número. Confira o valor digitado.",IF($G$81&lt;=0,"A vazão de entrada deve ser maior que zero.",IF($G$82="","Informe a concentração de entrada para continuar.",IF(NOT(ISNUMBER($G$82)),"A concentração de entrada precisa ser um número. Confira o valor digitado.",IF($G$82&lt;=0,"A concentração de entrada deve ser maior que zero.",IF($G$83="","Informe a vazão de saída para continuar (digite 0 se for o caso).",IF(NOT(ISNUMBER($G$83)),"A vazão de saída precisa ser um número. Confira o valor digitado.",IF($G$83&lt;0,"A vazão de saída não pode ser negativa.",IF($G$84="","Informe a concentração de saída para continuar (digite 0 se for o caso).",IF(NOT(ISNUMBER($G$84)),"A concentração de saída precisa ser um número. Confira o valor digitado.",IF($G$84&lt;0,"A concentração de saída não pode ser negativa.",""))))))))))))),"Resultado indisponível: existem dados inválidos.")</f>
        <v/>
      </c>
    </row>
    <row r="31" ht="8" customHeight="1">
      <c r="K31" s="61" t="inlineStr">
        <is>
          <t>[Eficiência por carga] dados válidos?</t>
        </is>
      </c>
      <c r="L31" s="61" t="b">
        <f>$L$30=""</f>
        <v>1</v>
      </c>
    </row>
    <row r="32" ht="24" customHeight="1">
      <c r="B32" s="86" t="inlineStr">
        <is>
          <t>D · RESULTADO AUTOMÁTICO</t>
        </is>
      </c>
      <c r="C32" s="86" t="n"/>
      <c r="D32" s="86" t="n"/>
      <c r="E32" s="86" t="n"/>
      <c r="F32" s="86" t="n"/>
      <c r="G32" s="86" t="n"/>
      <c r="H32" s="86" t="n"/>
      <c r="K32" s="61" t="inlineStr">
        <is>
          <t>[Eficiência por carga] E (arredondado)</t>
        </is>
      </c>
      <c r="L32" s="61">
        <f>IFERROR(ROUND($L$27,IF($L$27=0,0,4-INT(LOG10(ABS($L$27))))),"")</f>
        <v>80</v>
      </c>
    </row>
    <row r="33" ht="22" customHeight="1">
      <c r="B33" s="87" t="inlineStr">
        <is>
          <t>EFICIÊNCIA DE REMOÇÃO</t>
        </is>
      </c>
      <c r="C33" s="87" t="n"/>
      <c r="D33" s="87" t="n"/>
      <c r="E33" s="88" t="inlineStr">
        <is>
          <t>OUTROS RESULTADOS</t>
        </is>
      </c>
      <c r="F33" s="88" t="n"/>
      <c r="G33" s="88" t="n"/>
      <c r="H33" s="88" t="n"/>
      <c r="K33" s="61" t="inlineStr">
        <is>
          <t>[Eficiência por carga] E (texto)</t>
        </is>
      </c>
      <c r="L33" s="61" t="str">
        <f>IF(ISNUMBER($L$32),FIXED($L$32,IF(ROUND($L$32,0)=$L$32,0,IF(ROUND($L$32,1)=$L$32,1,IF(ROUND($L$32,2)=$L$32,2,IF(ROUND($L$32,3)=$L$32,3,IF(ROUND($L$32,4)=$L$32,4,IF(ROUND($L$32,5)=$L$32,5,IF(ROUND($L$32,6)=$L$32,6,7)))))))),"?")</f>
        <v>80</v>
      </c>
    </row>
    <row r="34" ht="21" customHeight="1">
      <c r="B34" s="107">
        <f>IF($L$11,$L$6,"—")</f>
        <v>80</v>
      </c>
      <c r="C34" s="90" t="n"/>
      <c r="D34" s="91" t="inlineStr">
        <is>
          <t>%</t>
        </is>
      </c>
      <c r="E34" s="92" t="inlineStr">
        <is>
          <t>Diferença (entrada − saída)</t>
        </is>
      </c>
      <c r="F34" s="92" t="n"/>
      <c r="G34" s="108">
        <f>IF($L$11,$L$5,"—")</f>
        <v>200</v>
      </c>
      <c r="H34" s="94" t="inlineStr">
        <is>
          <t>mg/L</t>
        </is>
      </c>
      <c r="K34" s="61" t="inlineStr">
        <is>
          <t>[Eficiência por carga] Ec (arredondado)</t>
        </is>
      </c>
      <c r="L34" s="61">
        <f>IFERROR(ROUND($L$29,IF($L$29=0,0,4-INT(LOG10(ABS($L$29))))),"")</f>
        <v>75</v>
      </c>
    </row>
    <row r="35" ht="21" customHeight="1">
      <c r="B35" s="90" t="n"/>
      <c r="C35" s="90" t="n"/>
      <c r="D35" s="91" t="n"/>
      <c r="E35" s="92" t="inlineStr">
        <is>
          <t>Parcela que permanece</t>
        </is>
      </c>
      <c r="F35" s="92" t="n"/>
      <c r="G35" s="109">
        <f>IF($L$11,$L$9,"—")</f>
        <v>20</v>
      </c>
      <c r="H35" s="94" t="inlineStr">
        <is>
          <t>%</t>
        </is>
      </c>
      <c r="K35" s="61" t="inlineStr">
        <is>
          <t>[Eficiência por carga] Ec (texto)</t>
        </is>
      </c>
      <c r="L35" s="61" t="str">
        <f>IF(ISNUMBER($L$34),FIXED($L$34,IF(ROUND($L$34,0)=$L$34,0,IF(ROUND($L$34,1)=$L$34,1,IF(ROUND($L$34,2)=$L$34,2,IF(ROUND($L$34,3)=$L$34,3,IF(ROUND($L$34,4)=$L$34,4,IF(ROUND($L$34,5)=$L$34,5,IF(ROUND($L$34,6)=$L$34,6,7)))))))),"?")</f>
        <v>75</v>
      </c>
    </row>
    <row r="36" ht="21" customHeight="1">
      <c r="B36" s="90" t="n"/>
      <c r="C36" s="90" t="n"/>
      <c r="D36" s="91" t="n"/>
      <c r="E36" s="95" t="n"/>
      <c r="F36" s="95" t="n"/>
      <c r="G36" s="95" t="n"/>
      <c r="H36" s="95" t="n"/>
      <c r="K36" s="61" t="inlineStr">
        <is>
          <t>[Eficiência por carga] negE (arredondado)</t>
        </is>
      </c>
      <c r="L36" s="61">
        <f>IFERROR(ROUND($L$28,IF($L$28=0,0,4-INT(LOG10(ABS($L$28))))),"")</f>
        <v>-80</v>
      </c>
    </row>
    <row r="37" ht="21" customHeight="1">
      <c r="B37" s="90" t="n"/>
      <c r="C37" s="90" t="n"/>
      <c r="D37" s="91" t="n"/>
      <c r="E37" s="95" t="n"/>
      <c r="F37" s="95" t="n"/>
      <c r="G37" s="95" t="n"/>
      <c r="H37" s="95" t="n"/>
      <c r="K37" s="61" t="inlineStr">
        <is>
          <t>[Eficiência por carga] negE (texto)</t>
        </is>
      </c>
      <c r="L37" s="61" t="str">
        <f>IF(ISNUMBER($L$36),FIXED($L$36,IF(ROUND($L$36,0)=$L$36,0,IF(ROUND($L$36,1)=$L$36,1,IF(ROUND($L$36,2)=$L$36,2,IF(ROUND($L$36,3)=$L$36,3,IF(ROUND($L$36,4)=$L$36,4,IF(ROUND($L$36,5)=$L$36,5,IF(ROUND($L$36,6)=$L$36,6,7)))))))),"?")</f>
        <v>-80</v>
      </c>
    </row>
    <row r="38" ht="34" customHeight="1">
      <c r="B38" s="96" t="inlineStr">
        <is>
          <t>Interpretação</t>
        </is>
      </c>
      <c r="C38" s="97" t="str">
        <f>IF($L$11,IF($L$6&gt;0,"Houve redução de "&amp;$G$28&amp;": o sistema removeu "&amp;$L$13&amp;"% da concentração de entrada.",IF($L$6=0,"Não houve redução: o valor de saída é igual ao de entrada.","Houve aumento de "&amp;$G$28&amp;": a saída ficou "&amp;$L$15&amp;"% acima da entrada. Confira os dados e o funcionamento do sistema.")),"Resultado indisponível: corrija o item indicado em Status dos dados.")</f>
        <v>Houve redução de DBO: o sistema removeu 80% da concentração de entrada.</v>
      </c>
      <c r="D38" s="97" t="n"/>
      <c r="E38" s="97" t="n"/>
      <c r="F38" s="97" t="n"/>
      <c r="G38" s="97" t="n"/>
      <c r="H38" s="97" t="n"/>
      <c r="K38" s="61" t="inlineStr">
        <is>
          <t>[Eficiência por carga] Ce (arredondado)</t>
        </is>
      </c>
      <c r="L38" s="61">
        <f>IFERROR(ROUND($G$82,IF($G$82=0,0,4-INT(LOG10(ABS($G$82))))),"")</f>
        <v>200</v>
      </c>
    </row>
    <row r="39" ht="21" customHeight="1">
      <c r="B39" s="96" t="inlineStr">
        <is>
          <t>Status dos dados</t>
        </is>
      </c>
      <c r="C39" s="98" t="str">
        <f>IF($L$11,"✔ Dados válidos. Resultado calculado automaticamente.","⚠ "&amp;$L$10)</f>
        <v>✔ Dados válidos. Resultado calculado automaticamente.</v>
      </c>
      <c r="D39" s="98" t="n"/>
      <c r="E39" s="98" t="n"/>
      <c r="F39" s="98" t="n"/>
      <c r="G39" s="98" t="n"/>
      <c r="H39" s="98" t="n"/>
      <c r="K39" s="61" t="inlineStr">
        <is>
          <t>[Eficiência por carga] Ce (texto)</t>
        </is>
      </c>
      <c r="L39" s="61" t="str">
        <f>IF(ISNUMBER($L$38),FIXED($L$38,IF(ROUND($L$38,0)=$L$38,0,IF(ROUND($L$38,1)=$L$38,1,IF(ROUND($L$38,2)=$L$38,2,IF(ROUND($L$38,3)=$L$38,3,IF(ROUND($L$38,4)=$L$38,4,IF(ROUND($L$38,5)=$L$38,5,IF(ROUND($L$38,6)=$L$38,6,7)))))))),"?")</f>
        <v>200</v>
      </c>
    </row>
    <row r="40" ht="10" customHeight="1">
      <c r="K40" s="61" t="inlineStr">
        <is>
          <t>[Eficiência por carga] Cs (arredondado)</t>
        </is>
      </c>
      <c r="L40" s="61">
        <f>IFERROR(ROUND($G$84,IF($G$84=0,0,4-INT(LOG10(ABS($G$84))))),"")</f>
        <v>50</v>
      </c>
    </row>
    <row r="41" ht="24" customHeight="1">
      <c r="B41" s="99" t="inlineStr">
        <is>
          <t>E · ENTENDA O CÁLCULO</t>
        </is>
      </c>
      <c r="C41" s="99" t="n"/>
      <c r="D41" s="99" t="n"/>
      <c r="E41" s="99" t="n"/>
      <c r="F41" s="99" t="n"/>
      <c r="G41" s="99" t="n"/>
      <c r="H41" s="99" t="n"/>
      <c r="K41" s="61" t="inlineStr">
        <is>
          <t>[Eficiência por carga] Cs (texto)</t>
        </is>
      </c>
      <c r="L41" s="61" t="str">
        <f>IF(ISNUMBER($L$40),FIXED($L$40,IF(ROUND($L$40,0)=$L$40,0,IF(ROUND($L$40,1)=$L$40,1,IF(ROUND($L$40,2)=$L$40,2,IF(ROUND($L$40,3)=$L$40,3,IF(ROUND($L$40,4)=$L$40,4,IF(ROUND($L$40,5)=$L$40,5,IF(ROUND($L$40,6)=$L$40,6,7)))))))),"?")</f>
        <v>50</v>
      </c>
    </row>
    <row r="42" ht="26" customHeight="1">
      <c r="B42" s="64" t="inlineStr">
        <is>
          <t>Fórmula</t>
        </is>
      </c>
      <c r="C42" s="100" t="inlineStr">
        <is>
          <t>Eficiência (%) = (Ce − Cs) ÷ Ce × 100</t>
        </is>
      </c>
      <c r="D42" s="100" t="n"/>
      <c r="E42" s="100" t="n"/>
      <c r="F42" s="100" t="n"/>
      <c r="G42" s="100" t="n"/>
      <c r="H42" s="100" t="n"/>
      <c r="K42" s="61" t="inlineStr">
        <is>
          <t>[Eficiência por carga] Qe (arredondado)</t>
        </is>
      </c>
      <c r="L42" s="61">
        <f>IFERROR(ROUND($G$81,IF($G$81=0,0,4-INT(LOG10(ABS($G$81))))),"")</f>
        <v>500</v>
      </c>
    </row>
    <row r="43" ht="19" customHeight="1">
      <c r="B43" s="64" t="inlineStr">
        <is>
          <t>O que é cada variável</t>
        </is>
      </c>
      <c r="C43" s="25" t="inlineStr">
        <is>
          <t>Ce = concentração de entrada   |   Cs = concentração de saída   |   a divisão é sempre pela entrada</t>
        </is>
      </c>
      <c r="D43" s="25" t="n"/>
      <c r="E43" s="25" t="n"/>
      <c r="F43" s="25" t="n"/>
      <c r="G43" s="25" t="n"/>
      <c r="H43" s="25" t="n"/>
      <c r="K43" s="61" t="inlineStr">
        <is>
          <t>[Eficiência por carga] Qe (texto)</t>
        </is>
      </c>
      <c r="L43" s="61" t="str">
        <f>IF(ISNUMBER($L$42),FIXED($L$42,IF(ROUND($L$42,0)=$L$42,0,IF(ROUND($L$42,1)=$L$42,1,IF(ROUND($L$42,2)=$L$42,2,IF(ROUND($L$42,3)=$L$42,3,IF(ROUND($L$42,4)=$L$42,4,IF(ROUND($L$42,5)=$L$42,5,IF(ROUND($L$42,6)=$L$42,6,7)))))))),"?")</f>
        <v>500</v>
      </c>
    </row>
    <row r="44" ht="21" customHeight="1">
      <c r="B44" s="64" t="inlineStr">
        <is>
          <t>Valores inseridos</t>
        </is>
      </c>
      <c r="C44" s="25" t="str">
        <f>"Parâmetro: "&amp;$G$28&amp;"   |   "&amp;"Ce = "&amp;$L$17&amp;" "&amp;"mg/L"&amp;"   |   "&amp;"Cs = "&amp;$L$19&amp;" "&amp;"mg/L"</f>
        <v>Parâmetro: DBO   |   Ce = 250 mg/L   |   Cs = 50 mg/L</v>
      </c>
      <c r="D44" s="25" t="n"/>
      <c r="E44" s="25" t="n"/>
      <c r="F44" s="25" t="n"/>
      <c r="G44" s="25" t="n"/>
      <c r="H44" s="25" t="n"/>
      <c r="K44" s="61" t="inlineStr">
        <is>
          <t>[Eficiência por carga] Qs (arredondado)</t>
        </is>
      </c>
      <c r="L44" s="61">
        <f>IFERROR(ROUND($G$83,IF($G$83=0,0,4-INT(LOG10(ABS($G$83))))),"")</f>
        <v>400</v>
      </c>
    </row>
    <row r="45" ht="21" customHeight="1">
      <c r="B45" s="64" t="inlineStr">
        <is>
          <t>Substituição</t>
        </is>
      </c>
      <c r="C45" s="25" t="str">
        <f>IF($L$11,"E = ("&amp;$L$17&amp;" − "&amp;$L$19&amp;") ÷ "&amp;$L$17&amp;" × 100 = "&amp;$L$21&amp;" ÷ "&amp;$L$17&amp;" × 100 = "&amp;$L$13&amp;"%","Aguardando dados válidos para montar a conta.")</f>
        <v>E = (250 − 50) ÷ 250 × 100 = 200 ÷ 250 × 100 = 80%</v>
      </c>
      <c r="D45" s="25" t="n"/>
      <c r="E45" s="25" t="n"/>
      <c r="F45" s="25" t="n"/>
      <c r="G45" s="25" t="n"/>
      <c r="H45" s="25" t="n"/>
      <c r="K45" s="61" t="inlineStr">
        <is>
          <t>[Eficiência por carga] Qs (texto)</t>
        </is>
      </c>
      <c r="L45" s="61" t="str">
        <f>IF(ISNUMBER($L$44),FIXED($L$44,IF(ROUND($L$44,0)=$L$44,0,IF(ROUND($L$44,1)=$L$44,1,IF(ROUND($L$44,2)=$L$44,2,IF(ROUND($L$44,3)=$L$44,3,IF(ROUND($L$44,4)=$L$44,4,IF(ROUND($L$44,5)=$L$44,5,IF(ROUND($L$44,6)=$L$44,6,7)))))))),"?")</f>
        <v>400</v>
      </c>
    </row>
    <row r="46" ht="21" customHeight="1">
      <c r="B46" s="64" t="inlineStr">
        <is>
          <t>Resultado</t>
        </is>
      </c>
      <c r="C46" s="25" t="str">
        <f>IF($L$11,"Eficiência = "&amp;$L$13&amp;"%   |   Diferença = "&amp;$L$21&amp;" mg/L","Aguardando dados válidos para montar a conta.")</f>
        <v>Eficiência = 80%   |   Diferença = 200 mg/L</v>
      </c>
      <c r="D46" s="25" t="n"/>
      <c r="E46" s="25" t="n"/>
      <c r="F46" s="25" t="n"/>
      <c r="G46" s="25" t="n"/>
      <c r="H46" s="25" t="n"/>
      <c r="K46" s="61" t="inlineStr">
        <is>
          <t>[Eficiência por carga] Le (arredondado)</t>
        </is>
      </c>
      <c r="L46" s="61">
        <f>IFERROR(ROUND($L$24,IF($L$24=0,0,4-INT(LOG10(ABS($L$24))))),"")</f>
        <v>100</v>
      </c>
    </row>
    <row r="47" ht="10" customHeight="1">
      <c r="K47" s="61" t="inlineStr">
        <is>
          <t>[Eficiência por carga] Le (texto)</t>
        </is>
      </c>
      <c r="L47" s="61" t="str">
        <f>IF(ISNUMBER($L$46),FIXED($L$46,IF(ROUND($L$46,0)=$L$46,0,IF(ROUND($L$46,1)=$L$46,1,IF(ROUND($L$46,2)=$L$46,2,IF(ROUND($L$46,3)=$L$46,3,IF(ROUND($L$46,4)=$L$46,4,IF(ROUND($L$46,5)=$L$46,5,IF(ROUND($L$46,6)=$L$46,6,7)))))))),"?")</f>
        <v>100</v>
      </c>
    </row>
    <row r="48" ht="24" customHeight="1">
      <c r="B48" s="99" t="inlineStr">
        <is>
          <t>G · COMPARAÇÃO VISUAL</t>
        </is>
      </c>
      <c r="C48" s="99" t="n"/>
      <c r="D48" s="99" t="n"/>
      <c r="E48" s="99" t="n"/>
      <c r="F48" s="99" t="n"/>
      <c r="G48" s="99" t="n"/>
      <c r="H48" s="99" t="n"/>
      <c r="K48" s="61" t="inlineStr">
        <is>
          <t>[Eficiência por carga] Ls (arredondado)</t>
        </is>
      </c>
      <c r="L48" s="61">
        <f>IFERROR(ROUND($L$25,IF($L$25=0,0,4-INT(LOG10(ABS($L$25))))),"")</f>
        <v>20</v>
      </c>
    </row>
    <row r="49" ht="15" customHeight="1">
      <c r="E49" s="110" t="inlineStr">
        <is>
          <t>Dados do gráfico (atualizam sozinhos)</t>
        </is>
      </c>
      <c r="F49" s="110" t="n"/>
      <c r="G49" s="110" t="n"/>
      <c r="H49" s="110" t="n"/>
      <c r="K49" s="61" t="inlineStr">
        <is>
          <t>[Eficiência por carga] Ls (texto)</t>
        </is>
      </c>
      <c r="L49" s="61" t="str">
        <f>IF(ISNUMBER($L$48),FIXED($L$48,IF(ROUND($L$48,0)=$L$48,0,IF(ROUND($L$48,1)=$L$48,1,IF(ROUND($L$48,2)=$L$48,2,IF(ROUND($L$48,3)=$L$48,3,IF(ROUND($L$48,4)=$L$48,4,IF(ROUND($L$48,5)=$L$48,5,IF(ROUND($L$48,6)=$L$48,6,7)))))))),"?")</f>
        <v>20</v>
      </c>
    </row>
    <row r="50" ht="15" customHeight="1">
      <c r="E50" s="65" t="inlineStr">
        <is>
          <t>Entrada</t>
        </is>
      </c>
      <c r="F50" s="65" t="n"/>
      <c r="G50" s="111">
        <f>IF($L$11,$G$29,"")</f>
        <v>250</v>
      </c>
      <c r="H50" s="112" t="inlineStr">
        <is>
          <t>mg/L</t>
        </is>
      </c>
      <c r="K50" s="61" t="inlineStr">
        <is>
          <t>[Eficiência por carga] resumo</t>
        </is>
      </c>
      <c r="L50" s="61" t="str">
        <f>IF($L$31,$L$33&amp;" "&amp;"%","—")</f>
        <v>80 %</v>
      </c>
    </row>
    <row r="51" ht="15" customHeight="1">
      <c r="E51" s="65" t="inlineStr">
        <is>
          <t>Saída</t>
        </is>
      </c>
      <c r="F51" s="65" t="n"/>
      <c r="G51" s="111">
        <f>IF($L$11,$G$30,"")</f>
        <v>50</v>
      </c>
      <c r="H51" s="112" t="inlineStr">
        <is>
          <t>mg/L</t>
        </is>
      </c>
    </row>
    <row r="52" ht="15" customHeight="1"/>
    <row r="53" ht="15" customHeight="1">
      <c r="E53" s="113" t="inlineStr">
        <is>
          <t>O gráfico usa os mesmos resultados do card verde. Mude um dado e veja as barras mudarem.</t>
        </is>
      </c>
      <c r="F53" s="113" t="n"/>
      <c r="G53" s="113" t="n"/>
      <c r="H53" s="113" t="n"/>
    </row>
    <row r="54" ht="15" customHeight="1">
      <c r="E54" s="113" t="n"/>
      <c r="F54" s="113" t="n"/>
      <c r="G54" s="113" t="n"/>
      <c r="H54" s="113" t="n"/>
    </row>
    <row r="55" ht="15" customHeight="1">
      <c r="E55" s="113" t="n"/>
      <c r="F55" s="113" t="n"/>
      <c r="G55" s="113" t="n"/>
      <c r="H55" s="113" t="n"/>
    </row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0" customHeight="1"/>
    <row r="64" ht="24" customHeight="1">
      <c r="B64" s="99" t="inlineStr">
        <is>
          <t>F · EXEMPLO E ORIENTAÇÃO</t>
        </is>
      </c>
      <c r="C64" s="99" t="n"/>
      <c r="D64" s="99" t="n"/>
      <c r="E64" s="99" t="n"/>
      <c r="F64" s="99" t="n"/>
      <c r="G64" s="99" t="n"/>
      <c r="H64" s="99" t="n"/>
    </row>
    <row r="65" ht="58" customHeight="1">
      <c r="B65" s="64" t="inlineStr">
        <is>
          <t>Exemplos desta ferramenta</t>
        </is>
      </c>
      <c r="C65" s="25" t="inlineStr">
        <is>
          <t>Exemplo 01: Uma ETE recebe esgoto com DBO de 250 mg/L e o efluente tratado sai com 50 mg/L. Qual é a eficiência de remoção?
Exemplo 02: Um reator anaeróbio recebe DQO de 600 mg/L e libera 180 mg/L. Qual é a eficiência?
Escolha o exemplo na lista Cenário para ver a resolução completa.</t>
        </is>
      </c>
      <c r="D65" s="25" t="n"/>
      <c r="E65" s="25" t="n"/>
      <c r="F65" s="25" t="n"/>
      <c r="G65" s="25" t="n"/>
      <c r="H65" s="25" t="n"/>
    </row>
    <row r="66" ht="19" customHeight="1">
      <c r="B66" s="64" t="inlineStr">
        <is>
          <t>Como interpretar</t>
        </is>
      </c>
      <c r="C66" s="25" t="inlineStr">
        <is>
          <t>80% de eficiência significa que, de cada 100 mg que entram, 80 mg são removidos e 20 mg saem.</t>
        </is>
      </c>
      <c r="D66" s="25" t="n"/>
      <c r="E66" s="25" t="n"/>
      <c r="F66" s="25" t="n"/>
      <c r="G66" s="25" t="n"/>
      <c r="H66" s="25" t="n"/>
    </row>
    <row r="67" ht="19" customHeight="1">
      <c r="B67" s="101" t="inlineStr">
        <is>
          <t>⚠ Erro comum</t>
        </is>
      </c>
      <c r="C67" s="102" t="inlineStr">
        <is>
          <t>Dividir pela concentração de saída. A divisão é sempre pela concentração de entrada.</t>
        </is>
      </c>
      <c r="D67" s="102" t="n"/>
      <c r="E67" s="102" t="n"/>
      <c r="F67" s="102" t="n"/>
      <c r="G67" s="102" t="n"/>
      <c r="H67" s="102" t="n"/>
    </row>
    <row r="68" ht="32" customHeight="1">
      <c r="B68" s="103" t="inlineStr">
        <is>
          <t>💡 Dica prática</t>
        </is>
      </c>
      <c r="C68" s="104" t="inlineStr">
        <is>
          <t>Se as vazões de entrada e saída forem diferentes (perdas, evaporação, retirada de lodo), use a Ferramenta 2, que trabalha com carga.</t>
        </is>
      </c>
      <c r="D68" s="104" t="n"/>
      <c r="E68" s="104" t="n"/>
      <c r="F68" s="104" t="n"/>
      <c r="G68" s="104" t="n"/>
      <c r="H68" s="104" t="n"/>
    </row>
    <row r="69" ht="32" customHeight="1">
      <c r="B69" s="114" t="inlineStr">
        <is>
          <t>Atenção</t>
        </is>
      </c>
      <c r="C69" s="55" t="inlineStr">
        <is>
          <t>A calculadora não classifica o resultado como bom ou ruim e não verifica normas. Para isso, compare com o padrão aplicável ao parâmetro e ao seu caso.</t>
        </is>
      </c>
      <c r="D69" s="55" t="n"/>
      <c r="E69" s="55" t="n"/>
      <c r="F69" s="55" t="n"/>
      <c r="G69" s="55" t="n"/>
      <c r="H69" s="55" t="n"/>
    </row>
    <row r="70" ht="14" customHeight="1"/>
    <row r="71" ht="14" customHeight="1"/>
    <row r="72" ht="30" customHeight="1">
      <c r="B72" s="72" t="inlineStr">
        <is>
          <t>FERRAMENTA 2  ·  EFICIÊNCIA POR CARGA</t>
        </is>
      </c>
      <c r="C72" s="72" t="n"/>
      <c r="D72" s="72" t="n"/>
      <c r="E72" s="72" t="n"/>
      <c r="F72" s="72" t="n"/>
      <c r="G72" s="72" t="n"/>
      <c r="H72" s="73" t="inlineStr">
        <is>
          <t>▲ Voltar ao topo</t>
        </is>
      </c>
    </row>
    <row r="73" ht="19" customHeight="1">
      <c r="B73" s="74" t="inlineStr">
        <is>
          <t>Calcula a remoção de massa poluidora. Use quando as vazões de entrada e de saída forem diferentes.</t>
        </is>
      </c>
      <c r="C73" s="74" t="n"/>
      <c r="D73" s="74" t="n"/>
      <c r="E73" s="74" t="n"/>
      <c r="F73" s="74" t="n"/>
      <c r="G73" s="74" t="n"/>
      <c r="H73" s="74" t="n"/>
    </row>
    <row r="74" ht="6" customHeight="1"/>
    <row r="75" ht="20" customHeight="1">
      <c r="B75" s="75" t="inlineStr">
        <is>
          <t>B · ESCOLHA DO CENÁRIO</t>
        </is>
      </c>
      <c r="C75" s="75" t="n"/>
      <c r="D75" s="75" t="n"/>
      <c r="E75" s="75" t="n"/>
      <c r="F75" s="75" t="n"/>
      <c r="G75" s="75" t="n"/>
      <c r="H75" s="75" t="n"/>
    </row>
    <row r="76" ht="30" customHeight="1">
      <c r="B76" s="47" t="inlineStr">
        <is>
          <t>Cenário  ▼</t>
        </is>
      </c>
      <c r="C76" s="76" t="inlineStr">
        <is>
          <t>Exemplo 01</t>
        </is>
      </c>
      <c r="D76" s="77" t="n"/>
      <c r="E76" s="68" t="inlineStr">
        <is>
          <t>Exemplo 01 e Exemplo 02 usam dados prontos. Meu cálculo usa os valores que você digitar na coluna amarela.</t>
        </is>
      </c>
      <c r="F76" s="68" t="n"/>
      <c r="G76" s="68" t="n"/>
      <c r="H76" s="68" t="n"/>
    </row>
    <row r="77" ht="6" customHeight="1"/>
    <row r="78" ht="20" customHeight="1">
      <c r="B78" s="75" t="inlineStr">
        <is>
          <t>C · DADOS DE ENTRADA</t>
        </is>
      </c>
      <c r="C78" s="75" t="n"/>
      <c r="D78" s="75" t="n"/>
      <c r="E78" s="75" t="n"/>
      <c r="F78" s="75" t="n"/>
      <c r="G78" s="75" t="n"/>
      <c r="H78" s="75" t="n"/>
    </row>
    <row r="79" ht="22" customHeight="1">
      <c r="B79" s="78" t="inlineStr">
        <is>
          <t>Variável</t>
        </is>
      </c>
      <c r="C79" s="78" t="inlineStr">
        <is>
          <t>Exemplo 01</t>
        </is>
      </c>
      <c r="D79" s="78" t="inlineStr">
        <is>
          <t>Exemplo 02</t>
        </is>
      </c>
      <c r="E79" s="79" t="inlineStr">
        <is>
          <t>MEU CÁLCULO</t>
        </is>
      </c>
      <c r="F79" s="78" t="inlineStr">
        <is>
          <t>Unidade</t>
        </is>
      </c>
      <c r="G79" s="80" t="inlineStr">
        <is>
          <t>Valor em uso</t>
        </is>
      </c>
      <c r="H79" s="78" t="inlineStr">
        <is>
          <t>Orientação de preenchimento</t>
        </is>
      </c>
    </row>
    <row r="80" ht="22" customHeight="1">
      <c r="B80" s="47" t="inlineStr">
        <is>
          <t>Parâmetro</t>
        </is>
      </c>
      <c r="C80" s="81" t="inlineStr">
        <is>
          <t>DBO</t>
        </is>
      </c>
      <c r="D80" s="81" t="inlineStr">
        <is>
          <t>SST</t>
        </is>
      </c>
      <c r="E80" s="82" t="inlineStr">
        <is>
          <t>DBO</t>
        </is>
      </c>
      <c r="F80" s="83" t="inlineStr">
        <is>
          <t>lista ▼</t>
        </is>
      </c>
      <c r="G80" s="84" t="str">
        <f>IF($L$23=1,C80,IF($L$23=2,D80,IF($L$23=3,IF(E80="","",E80),"")))</f>
        <v>DBO</v>
      </c>
      <c r="H80" s="85" t="inlineStr">
        <is>
          <t>Escolha o parâmetro avaliado.</t>
        </is>
      </c>
    </row>
    <row r="81" ht="22" customHeight="1">
      <c r="B81" s="47" t="inlineStr">
        <is>
          <t>Vazão de entrada</t>
        </is>
      </c>
      <c r="C81" s="81" t="n">
        <v>500</v>
      </c>
      <c r="D81" s="81" t="n">
        <v>1000</v>
      </c>
      <c r="E81" s="82" t="n"/>
      <c r="F81" s="83" t="inlineStr">
        <is>
          <t>m³/dia</t>
        </is>
      </c>
      <c r="G81" s="84">
        <f>IF($L$23=1,C81,IF($L$23=2,D81,IF($L$23=3,IF(E81="","",E81),"")))</f>
        <v>500</v>
      </c>
      <c r="H81" s="85" t="inlineStr">
        <is>
          <t>Vazão que entra no sistema. Ex.: 500</t>
        </is>
      </c>
    </row>
    <row r="82" ht="22" customHeight="1">
      <c r="B82" s="47" t="inlineStr">
        <is>
          <t>Concentração de entrada</t>
        </is>
      </c>
      <c r="C82" s="81" t="n">
        <v>200</v>
      </c>
      <c r="D82" s="81" t="n">
        <v>300</v>
      </c>
      <c r="E82" s="82" t="n"/>
      <c r="F82" s="83" t="inlineStr">
        <is>
          <t>mg/L</t>
        </is>
      </c>
      <c r="G82" s="84">
        <f>IF($L$23=1,C82,IF($L$23=2,D82,IF($L$23=3,IF(E82="","",E82),"")))</f>
        <v>200</v>
      </c>
      <c r="H82" s="85" t="inlineStr">
        <is>
          <t>Concentração na entrada. Ex.: 200</t>
        </is>
      </c>
    </row>
    <row r="83" ht="22" customHeight="1">
      <c r="B83" s="47" t="inlineStr">
        <is>
          <t>Vazão de saída</t>
        </is>
      </c>
      <c r="C83" s="81" t="n">
        <v>400</v>
      </c>
      <c r="D83" s="81" t="n">
        <v>950</v>
      </c>
      <c r="E83" s="82" t="n"/>
      <c r="F83" s="83" t="inlineStr">
        <is>
          <t>m³/dia</t>
        </is>
      </c>
      <c r="G83" s="84">
        <f>IF($L$23=1,C83,IF($L$23=2,D83,IF($L$23=3,IF(E83="","",E83),"")))</f>
        <v>400</v>
      </c>
      <c r="H83" s="85" t="inlineStr">
        <is>
          <t>Vazão do efluente final. Ex.: 400</t>
        </is>
      </c>
    </row>
    <row r="84" ht="22" customHeight="1">
      <c r="B84" s="47" t="inlineStr">
        <is>
          <t>Concentração de saída</t>
        </is>
      </c>
      <c r="C84" s="81" t="n">
        <v>50</v>
      </c>
      <c r="D84" s="81" t="n">
        <v>30</v>
      </c>
      <c r="E84" s="82" t="n"/>
      <c r="F84" s="83" t="inlineStr">
        <is>
          <t>mg/L</t>
        </is>
      </c>
      <c r="G84" s="84">
        <f>IF($L$23=1,C84,IF($L$23=2,D84,IF($L$23=3,IF(E84="","",E84),"")))</f>
        <v>50</v>
      </c>
      <c r="H84" s="85" t="inlineStr">
        <is>
          <t>Concentração no efluente final. Ex.: 50</t>
        </is>
      </c>
    </row>
    <row r="85" ht="8" customHeight="1"/>
    <row r="86" ht="24" customHeight="1">
      <c r="B86" s="86" t="inlineStr">
        <is>
          <t>D · RESULTADO AUTOMÁTICO</t>
        </is>
      </c>
      <c r="C86" s="86" t="n"/>
      <c r="D86" s="86" t="n"/>
      <c r="E86" s="86" t="n"/>
      <c r="F86" s="86" t="n"/>
      <c r="G86" s="86" t="n"/>
      <c r="H86" s="86" t="n"/>
    </row>
    <row r="87" ht="22" customHeight="1">
      <c r="B87" s="87" t="inlineStr">
        <is>
          <t>EFICIÊNCIA POR CARGA</t>
        </is>
      </c>
      <c r="C87" s="87" t="n"/>
      <c r="D87" s="87" t="n"/>
      <c r="E87" s="88" t="inlineStr">
        <is>
          <t>OUTROS RESULTADOS</t>
        </is>
      </c>
      <c r="F87" s="88" t="n"/>
      <c r="G87" s="88" t="n"/>
      <c r="H87" s="88" t="n"/>
    </row>
    <row r="88" ht="21" customHeight="1">
      <c r="B88" s="107">
        <f>IF($L$31,$L$27,"—")</f>
        <v>80</v>
      </c>
      <c r="C88" s="90" t="n"/>
      <c r="D88" s="91" t="inlineStr">
        <is>
          <t>%</t>
        </is>
      </c>
      <c r="E88" s="92" t="inlineStr">
        <is>
          <t>Carga de entrada</t>
        </is>
      </c>
      <c r="F88" s="92" t="n"/>
      <c r="G88" s="93">
        <f>IF($L$31,$L$24,"—")</f>
        <v>100</v>
      </c>
      <c r="H88" s="94" t="inlineStr">
        <is>
          <t>kg/dia</t>
        </is>
      </c>
    </row>
    <row r="89" ht="21" customHeight="1">
      <c r="B89" s="90" t="n"/>
      <c r="C89" s="90" t="n"/>
      <c r="D89" s="91" t="n"/>
      <c r="E89" s="92" t="inlineStr">
        <is>
          <t>Carga de saída</t>
        </is>
      </c>
      <c r="F89" s="92" t="n"/>
      <c r="G89" s="93">
        <f>IF($L$31,$L$25,"—")</f>
        <v>20</v>
      </c>
      <c r="H89" s="94" t="inlineStr">
        <is>
          <t>kg/dia</t>
        </is>
      </c>
    </row>
    <row r="90" ht="21" customHeight="1">
      <c r="B90" s="90" t="n"/>
      <c r="C90" s="90" t="n"/>
      <c r="D90" s="91" t="n"/>
      <c r="E90" s="92" t="inlineStr">
        <is>
          <t>Carga removida</t>
        </is>
      </c>
      <c r="F90" s="92" t="n"/>
      <c r="G90" s="108">
        <f>IF($L$31,$L$26,"—")</f>
        <v>80</v>
      </c>
      <c r="H90" s="94" t="inlineStr">
        <is>
          <t>kg/dia</t>
        </is>
      </c>
    </row>
    <row r="91" ht="21" customHeight="1">
      <c r="B91" s="90" t="n"/>
      <c r="C91" s="90" t="n"/>
      <c r="D91" s="91" t="n"/>
      <c r="E91" s="92" t="inlineStr">
        <is>
          <t>Eficiência por concentração</t>
        </is>
      </c>
      <c r="F91" s="92" t="n"/>
      <c r="G91" s="109">
        <f>IF($L$31,$L$29,"—")</f>
        <v>75</v>
      </c>
      <c r="H91" s="94" t="inlineStr">
        <is>
          <t>%</t>
        </is>
      </c>
    </row>
    <row r="92" ht="34" customHeight="1">
      <c r="B92" s="96" t="inlineStr">
        <is>
          <t>Interpretação</t>
        </is>
      </c>
      <c r="C92" s="97" t="str">
        <f>IF($L$31,IF($L$27&gt;0,"Houve redução de "&amp;$G$80&amp;": o sistema removeu "&amp;$L$33&amp;"% da carga de entrada.",IF($L$27=0,"Não houve redução: o valor de saída é igual ao de entrada.","Houve aumento de "&amp;$G$80&amp;": a saída ficou "&amp;$L$37&amp;"% acima da entrada. Confira os dados e o funcionamento do sistema."))&amp;" Só pelas concentrações, a eficiência seria "&amp;$L$35&amp;"%.","Resultado indisponível: corrija o item indicado em Status dos dados.")</f>
        <v>Houve redução de DBO: o sistema removeu 80% da carga de entrada. Só pelas concentrações, a eficiência seria 75%.</v>
      </c>
      <c r="D92" s="97" t="n"/>
      <c r="E92" s="97" t="n"/>
      <c r="F92" s="97" t="n"/>
      <c r="G92" s="97" t="n"/>
      <c r="H92" s="97" t="n"/>
    </row>
    <row r="93" ht="21" customHeight="1">
      <c r="B93" s="96" t="inlineStr">
        <is>
          <t>Status dos dados</t>
        </is>
      </c>
      <c r="C93" s="98" t="str">
        <f>IF($L$31,"✔ Dados válidos. Resultado calculado automaticamente.","⚠ "&amp;$L$30)</f>
        <v>✔ Dados válidos. Resultado calculado automaticamente.</v>
      </c>
      <c r="D93" s="98" t="n"/>
      <c r="E93" s="98" t="n"/>
      <c r="F93" s="98" t="n"/>
      <c r="G93" s="98" t="n"/>
      <c r="H93" s="98" t="n"/>
    </row>
    <row r="94" ht="10" customHeight="1"/>
    <row r="95" ht="24" customHeight="1">
      <c r="B95" s="99" t="inlineStr">
        <is>
          <t>E · ENTENDA O CÁLCULO</t>
        </is>
      </c>
      <c r="C95" s="99" t="n"/>
      <c r="D95" s="99" t="n"/>
      <c r="E95" s="99" t="n"/>
      <c r="F95" s="99" t="n"/>
      <c r="G95" s="99" t="n"/>
      <c r="H95" s="99" t="n"/>
    </row>
    <row r="96" ht="37.2" customHeight="1">
      <c r="B96" s="64" t="inlineStr">
        <is>
          <t>Fórmula</t>
        </is>
      </c>
      <c r="C96" s="100" t="inlineStr">
        <is>
          <t>Carga = Q × C × 0,001     |     Eficiência (%) = (Carga entrada − Carga saída) ÷ Carga entrada × 100</t>
        </is>
      </c>
      <c r="D96" s="100" t="n"/>
      <c r="E96" s="100" t="n"/>
      <c r="F96" s="100" t="n"/>
      <c r="G96" s="100" t="n"/>
      <c r="H96" s="100" t="n"/>
    </row>
    <row r="97" ht="32" customHeight="1">
      <c r="B97" s="64" t="inlineStr">
        <is>
          <t>O que é cada variável</t>
        </is>
      </c>
      <c r="C97" s="25" t="inlineStr">
        <is>
          <t>Qe, Ce = vazão (m³/dia) e concentração (mg/L) de entrada   |   Qs, Cs = vazão e concentração de saída   |   Carga em kg/dia</t>
        </is>
      </c>
      <c r="D97" s="25" t="n"/>
      <c r="E97" s="25" t="n"/>
      <c r="F97" s="25" t="n"/>
      <c r="G97" s="25" t="n"/>
      <c r="H97" s="25" t="n"/>
    </row>
    <row r="98" ht="21" customHeight="1">
      <c r="B98" s="64" t="inlineStr">
        <is>
          <t>Valores inseridos</t>
        </is>
      </c>
      <c r="C98" s="25" t="str">
        <f>"Parâmetro: "&amp;$G$80&amp;"   |   "&amp;"Qe = "&amp;$L$43&amp;" "&amp;"m³/dia"&amp;"   |   "&amp;"Ce = "&amp;$L$39&amp;" "&amp;"mg/L"&amp;"   |   "&amp;"Qs = "&amp;$L$45&amp;" "&amp;"m³/dia"&amp;"   |   "&amp;"Cs = "&amp;$L$41&amp;" "&amp;"mg/L"</f>
        <v>Parâmetro: DBO   |   Qe = 500 m³/dia   |   Ce = 200 mg/L   |   Qs = 400 m³/dia   |   Cs = 50 mg/L</v>
      </c>
      <c r="D98" s="25" t="n"/>
      <c r="E98" s="25" t="n"/>
      <c r="F98" s="25" t="n"/>
      <c r="G98" s="25" t="n"/>
      <c r="H98" s="25" t="n"/>
    </row>
    <row r="99" ht="47" customHeight="1">
      <c r="B99" s="64" t="inlineStr">
        <is>
          <t>Substituição</t>
        </is>
      </c>
      <c r="C99" s="25" t="str">
        <f>IF($L$31,"Carga entrada = "&amp;$L$43&amp;" × "&amp;$L$39&amp;" × 0,001 = "&amp;$L$47&amp;" kg/dia"&amp;CHAR(10)&amp;"Carga saída = "&amp;$L$45&amp;" × "&amp;$L$41&amp;" × 0,001 = "&amp;$L$49&amp;" kg/dia"&amp;CHAR(10)&amp;"E = ("&amp;$L$47&amp;" − "&amp;$L$49&amp;") ÷ "&amp;$L$47&amp;" × 100 = "&amp;$L$33&amp;"%","Aguardando dados válidos para montar a conta.")</f>
        <v>Carga entrada = 500 × 200 × 0,001 = 100 kg/dia
Carga saída = 400 × 50 × 0,001 = 20 kg/dia
E = (100 − 20) ÷ 100 × 100 = 80%</v>
      </c>
      <c r="D99" s="25" t="n"/>
      <c r="E99" s="25" t="n"/>
      <c r="F99" s="25" t="n"/>
      <c r="G99" s="25" t="n"/>
      <c r="H99" s="25" t="n"/>
    </row>
    <row r="100" ht="21" customHeight="1">
      <c r="B100" s="64" t="inlineStr">
        <is>
          <t>Resultado</t>
        </is>
      </c>
      <c r="C100" s="25" t="str">
        <f>IF($L$31,"Carga de entrada = "&amp;$L$47&amp;" kg/dia   |   Carga de saída = "&amp;$L$49&amp;" kg/dia   |   Eficiência = "&amp;$L$33&amp;"%","Aguardando dados válidos para montar a conta.")</f>
        <v>Carga de entrada = 100 kg/dia   |   Carga de saída = 20 kg/dia   |   Eficiência = 80%</v>
      </c>
      <c r="D100" s="25" t="n"/>
      <c r="E100" s="25" t="n"/>
      <c r="F100" s="25" t="n"/>
      <c r="G100" s="25" t="n"/>
      <c r="H100" s="25" t="n"/>
    </row>
    <row r="101" ht="10" customHeight="1"/>
    <row r="102" ht="24" customHeight="1">
      <c r="B102" s="99" t="inlineStr">
        <is>
          <t>G · COMPARAÇÃO VISUAL</t>
        </is>
      </c>
      <c r="C102" s="99" t="n"/>
      <c r="D102" s="99" t="n"/>
      <c r="E102" s="99" t="n"/>
      <c r="F102" s="99" t="n"/>
      <c r="G102" s="99" t="n"/>
      <c r="H102" s="99" t="n"/>
    </row>
    <row r="103" ht="15" customHeight="1">
      <c r="E103" s="110" t="inlineStr">
        <is>
          <t>Dados do gráfico (atualizam sozinhos)</t>
        </is>
      </c>
      <c r="F103" s="110" t="n"/>
      <c r="G103" s="110" t="n"/>
      <c r="H103" s="110" t="n"/>
    </row>
    <row r="104" ht="15" customHeight="1">
      <c r="E104" s="65" t="inlineStr">
        <is>
          <t>Carga de entrada</t>
        </is>
      </c>
      <c r="F104" s="65" t="n"/>
      <c r="G104" s="111">
        <f>IF($L$31,$L$24,"")</f>
        <v>100</v>
      </c>
      <c r="H104" s="112" t="inlineStr">
        <is>
          <t>kg/dia</t>
        </is>
      </c>
    </row>
    <row r="105" ht="15" customHeight="1">
      <c r="E105" s="65" t="inlineStr">
        <is>
          <t>Carga de saída</t>
        </is>
      </c>
      <c r="F105" s="65" t="n"/>
      <c r="G105" s="111">
        <f>IF($L$31,$L$25,"")</f>
        <v>20</v>
      </c>
      <c r="H105" s="112" t="inlineStr">
        <is>
          <t>kg/dia</t>
        </is>
      </c>
    </row>
    <row r="106" ht="15" customHeight="1"/>
    <row r="107" ht="15" customHeight="1">
      <c r="E107" s="113" t="inlineStr">
        <is>
          <t>O gráfico usa os mesmos resultados do card verde. Mude um dado e veja as barras mudarem.</t>
        </is>
      </c>
      <c r="F107" s="113" t="n"/>
      <c r="G107" s="113" t="n"/>
      <c r="H107" s="113" t="n"/>
    </row>
    <row r="108" ht="15" customHeight="1">
      <c r="E108" s="113" t="n"/>
      <c r="F108" s="113" t="n"/>
      <c r="G108" s="113" t="n"/>
      <c r="H108" s="113" t="n"/>
    </row>
    <row r="109" ht="15" customHeight="1">
      <c r="E109" s="113" t="n"/>
      <c r="F109" s="113" t="n"/>
      <c r="G109" s="113" t="n"/>
      <c r="H109" s="113" t="n"/>
    </row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0" customHeight="1"/>
    <row r="118" ht="24" customHeight="1">
      <c r="B118" s="99" t="inlineStr">
        <is>
          <t>F · EXEMPLO E ORIENTAÇÃO</t>
        </is>
      </c>
      <c r="C118" s="99" t="n"/>
      <c r="D118" s="99" t="n"/>
      <c r="E118" s="99" t="n"/>
      <c r="F118" s="99" t="n"/>
      <c r="G118" s="99" t="n"/>
      <c r="H118" s="99" t="n"/>
    </row>
    <row r="119" ht="71" customHeight="1">
      <c r="B119" s="64" t="inlineStr">
        <is>
          <t>Exemplos desta ferramenta</t>
        </is>
      </c>
      <c r="C119" s="25" t="inlineStr">
        <is>
          <t>Exemplo 01: Uma ETE recebe 500 m³/dia com 200 mg/L de DBO. Parte da água sai com o lodo, e o efluente final tem 400 m³/dia com 50 mg/L.
Exemplo 02: Um decantador recebe 1.000 m³/dia com 300 mg/L de SST. O clarificado sai com 950 m³/dia e 30 mg/L.
Escolha o exemplo na lista Cenário para ver a resolução completa.</t>
        </is>
      </c>
      <c r="D119" s="25" t="n"/>
      <c r="E119" s="25" t="n"/>
      <c r="F119" s="25" t="n"/>
      <c r="G119" s="25" t="n"/>
      <c r="H119" s="25" t="n"/>
    </row>
    <row r="120" ht="32" customHeight="1">
      <c r="B120" s="64" t="inlineStr">
        <is>
          <t>Como interpretar</t>
        </is>
      </c>
      <c r="C120" s="25" t="inlineStr">
        <is>
          <t>A eficiência por carga mostra quanto da massa de poluente foi realmente retida ou transformada no sistema, mesmo quando a vazão muda entre a entrada e a saída.</t>
        </is>
      </c>
      <c r="D120" s="25" t="n"/>
      <c r="E120" s="25" t="n"/>
      <c r="F120" s="25" t="n"/>
      <c r="G120" s="25" t="n"/>
      <c r="H120" s="25" t="n"/>
    </row>
    <row r="121" ht="32" customHeight="1">
      <c r="B121" s="101" t="inlineStr">
        <is>
          <t>⚠ Erro comum</t>
        </is>
      </c>
      <c r="C121" s="102" t="inlineStr">
        <is>
          <t>Calcular a eficiência só pelas concentrações quando as vazões mudam. Nesse caso o resultado pode enganar.</t>
        </is>
      </c>
      <c r="D121" s="102" t="n"/>
      <c r="E121" s="102" t="n"/>
      <c r="F121" s="102" t="n"/>
      <c r="G121" s="102" t="n"/>
      <c r="H121" s="102" t="n"/>
    </row>
    <row r="122" ht="19" customHeight="1">
      <c r="B122" s="103" t="inlineStr">
        <is>
          <t>💡 Dica prática</t>
        </is>
      </c>
      <c r="C122" s="104" t="inlineStr">
        <is>
          <t>Compare as duas eficiências (por carga e por concentração) para entender o efeito da mudança de vazão.</t>
        </is>
      </c>
      <c r="D122" s="104" t="n"/>
      <c r="E122" s="104" t="n"/>
      <c r="F122" s="104" t="n"/>
      <c r="G122" s="104" t="n"/>
      <c r="H122" s="104" t="n"/>
    </row>
    <row r="123" ht="32" customHeight="1">
      <c r="B123" s="114" t="inlineStr">
        <is>
          <t>Atenção</t>
        </is>
      </c>
      <c r="C123" s="55" t="inlineStr">
        <is>
          <t>A calculadora não classifica o resultado como bom ou ruim e não verifica normas. Para isso, compare com o padrão aplicável ao parâmetro e ao seu caso.</t>
        </is>
      </c>
      <c r="D123" s="55" t="n"/>
      <c r="E123" s="55" t="n"/>
      <c r="F123" s="55" t="n"/>
      <c r="G123" s="55" t="n"/>
      <c r="H123" s="55" t="n"/>
    </row>
    <row r="124" ht="14" customHeight="1"/>
    <row r="125" ht="14" customHeight="1"/>
    <row r="126" ht="30" customHeight="1">
      <c r="B126" s="33" t="inlineStr">
        <is>
          <t>Lembrete: os resultados são cálculos teóricos de apoio ao estudo. Confira unidades e hipóteses antes de usar em trabalhos, relatórios ou no estágio.</t>
        </is>
      </c>
      <c r="C126" s="33" t="n"/>
      <c r="D126" s="33" t="n"/>
      <c r="E126" s="33" t="n"/>
      <c r="F126" s="33" t="n"/>
      <c r="G126" s="33" t="n"/>
      <c r="H126" s="3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6">
    <mergeCell ref="B88:C91"/>
    <mergeCell ref="C99:H99"/>
    <mergeCell ref="C9:H9"/>
    <mergeCell ref="B64:H64"/>
    <mergeCell ref="B95:H95"/>
    <mergeCell ref="E37:H37"/>
    <mergeCell ref="C46:H46"/>
    <mergeCell ref="B32:H32"/>
    <mergeCell ref="E51:F51"/>
    <mergeCell ref="B26:H26"/>
    <mergeCell ref="B41:H41"/>
    <mergeCell ref="C39:H39"/>
    <mergeCell ref="E24:H24"/>
    <mergeCell ref="E34:F34"/>
    <mergeCell ref="E105:F105"/>
    <mergeCell ref="C38:H38"/>
    <mergeCell ref="C13:H13"/>
    <mergeCell ref="C76:D76"/>
    <mergeCell ref="B2:H2"/>
    <mergeCell ref="E91:F91"/>
    <mergeCell ref="D88:D91"/>
    <mergeCell ref="E49:H49"/>
    <mergeCell ref="C3:D3"/>
    <mergeCell ref="E3:F3"/>
    <mergeCell ref="E36:H36"/>
    <mergeCell ref="C121:H121"/>
    <mergeCell ref="C10:H10"/>
    <mergeCell ref="C93:H93"/>
    <mergeCell ref="B118:H118"/>
    <mergeCell ref="D34:D37"/>
    <mergeCell ref="C43:H43"/>
    <mergeCell ref="B34:C37"/>
    <mergeCell ref="E53:H55"/>
    <mergeCell ref="K1:L1"/>
    <mergeCell ref="B7:H7"/>
    <mergeCell ref="C122:H122"/>
    <mergeCell ref="C67:H67"/>
    <mergeCell ref="E90:F90"/>
    <mergeCell ref="E104:F104"/>
    <mergeCell ref="C69:H69"/>
    <mergeCell ref="C96:H96"/>
    <mergeCell ref="E87:H87"/>
    <mergeCell ref="C92:H92"/>
    <mergeCell ref="C14:H14"/>
    <mergeCell ref="C98:H98"/>
    <mergeCell ref="C16:E16"/>
    <mergeCell ref="E50:F50"/>
    <mergeCell ref="E76:H76"/>
    <mergeCell ref="B5:H5"/>
    <mergeCell ref="B87:D87"/>
    <mergeCell ref="C123:H123"/>
    <mergeCell ref="C120:H120"/>
    <mergeCell ref="B126:H126"/>
    <mergeCell ref="B75:H75"/>
    <mergeCell ref="C119:H119"/>
    <mergeCell ref="C8:H8"/>
    <mergeCell ref="C17:H17"/>
    <mergeCell ref="C66:H66"/>
    <mergeCell ref="B21:H21"/>
    <mergeCell ref="E89:F89"/>
    <mergeCell ref="B48:H48"/>
    <mergeCell ref="E103:H103"/>
    <mergeCell ref="C68:H68"/>
    <mergeCell ref="B72:G72"/>
    <mergeCell ref="B23:H23"/>
    <mergeCell ref="F16:H16"/>
    <mergeCell ref="B73:H73"/>
    <mergeCell ref="C45:H45"/>
    <mergeCell ref="C97:H97"/>
    <mergeCell ref="C100:H100"/>
    <mergeCell ref="C65:H65"/>
    <mergeCell ref="C24:D24"/>
    <mergeCell ref="C44:H44"/>
    <mergeCell ref="E88:F88"/>
    <mergeCell ref="E35:F35"/>
    <mergeCell ref="E33:H33"/>
    <mergeCell ref="B33:D33"/>
    <mergeCell ref="B20:G20"/>
    <mergeCell ref="B102:H102"/>
    <mergeCell ref="B12:H12"/>
    <mergeCell ref="B86:H86"/>
    <mergeCell ref="E107:H109"/>
    <mergeCell ref="C18:H18"/>
    <mergeCell ref="C42:H42"/>
    <mergeCell ref="B1:H1"/>
    <mergeCell ref="B78:H78"/>
  </mergeCells>
  <conditionalFormatting sqref="B20:H20">
    <cfRule type="expression" priority="1" dxfId="0" stopIfTrue="0">
      <formula>$L$3=1</formula>
    </cfRule>
  </conditionalFormatting>
  <conditionalFormatting sqref="C28:C30">
    <cfRule type="expression" priority="2" dxfId="1" stopIfTrue="0">
      <formula>$L$4=1</formula>
    </cfRule>
  </conditionalFormatting>
  <conditionalFormatting sqref="D28:D30">
    <cfRule type="expression" priority="3" dxfId="1" stopIfTrue="0">
      <formula>$L$4=2</formula>
    </cfRule>
  </conditionalFormatting>
  <conditionalFormatting sqref="E28:E30">
    <cfRule type="expression" priority="4" dxfId="2" stopIfTrue="0">
      <formula>$L$4=3</formula>
    </cfRule>
  </conditionalFormatting>
  <conditionalFormatting sqref="B34:C37">
    <cfRule type="expression" priority="5" dxfId="3" stopIfTrue="0">
      <formula>NOT($L$11)</formula>
    </cfRule>
  </conditionalFormatting>
  <conditionalFormatting sqref="C39:H39">
    <cfRule type="expression" priority="6" dxfId="4" stopIfTrue="0">
      <formula>$L$11</formula>
    </cfRule>
    <cfRule type="expression" priority="7" dxfId="5" stopIfTrue="0">
      <formula>NOT($L$11)</formula>
    </cfRule>
  </conditionalFormatting>
  <conditionalFormatting sqref="B72:H72">
    <cfRule type="expression" priority="8" dxfId="0" stopIfTrue="0">
      <formula>$L$3=2</formula>
    </cfRule>
  </conditionalFormatting>
  <conditionalFormatting sqref="C80:C84">
    <cfRule type="expression" priority="9" dxfId="1" stopIfTrue="0">
      <formula>$L$23=1</formula>
    </cfRule>
  </conditionalFormatting>
  <conditionalFormatting sqref="D80:D84">
    <cfRule type="expression" priority="10" dxfId="1" stopIfTrue="0">
      <formula>$L$23=2</formula>
    </cfRule>
  </conditionalFormatting>
  <conditionalFormatting sqref="E80:E84">
    <cfRule type="expression" priority="11" dxfId="2" stopIfTrue="0">
      <formula>$L$23=3</formula>
    </cfRule>
  </conditionalFormatting>
  <conditionalFormatting sqref="B88:C91">
    <cfRule type="expression" priority="12" dxfId="3" stopIfTrue="0">
      <formula>NOT($L$31)</formula>
    </cfRule>
  </conditionalFormatting>
  <conditionalFormatting sqref="C93:H93">
    <cfRule type="expression" priority="13" dxfId="4" stopIfTrue="0">
      <formula>$L$31</formula>
    </cfRule>
    <cfRule type="expression" priority="14" dxfId="5" stopIfTrue="0">
      <formula>NOT($L$31)</formula>
    </cfRule>
  </conditionalFormatting>
  <conditionalFormatting sqref="C18:H18">
    <cfRule type="expression" priority="15" dxfId="4" stopIfTrue="0">
      <formula>IFERROR(CHOOSE($L$3,$L$11,$L$31),FALSE)</formula>
    </cfRule>
    <cfRule type="expression" priority="16" dxfId="5" stopIfTrue="0">
      <formula>NOT(IFERROR(CHOOSE($L$3,$L$11,$L$31),FALSE))</formula>
    </cfRule>
  </conditionalFormatting>
  <dataValidations count="11">
    <dataValidation sqref="C16" showDropDown="0" showInputMessage="1" showErrorMessage="1" allowBlank="1" errorTitle="Opção inválida" error="Escolha uma ferramenta da lista." promptTitle="Escolha a ferramenta" prompt="A ferramenta escolhida fica destacada em verde e o resultado dela aparece aqui ao lado." type="list">
      <formula1>"Ferramenta 1: Eficiência por concentração,Ferramenta 2: Eficiência por carga"</formula1>
    </dataValidation>
    <dataValidation sqref="C24" showDropDown="0" showInputMessage="1" showErrorMessage="1" allowBlank="1" errorTitle="Opção inválida" error="Escolha Exemplo 01, Exemplo 02 ou Meu cálculo." promptTitle="Escolha o cenário" prompt="Exemplo 01 e Exemplo 02 usam dados prontos. Meu cálculo usa os valores que você digitar na coluna amarela MEU CÁLCULO." type="list">
      <formula1>"Exemplo 01,Exemplo 02,Meu cálculo"</formula1>
    </dataValidation>
    <dataValidation sqref="E28" showDropDown="0" showInputMessage="1" showErrorMessage="1" allowBlank="1" errorTitle="Opção inválida" error="Escolha uma opção da lista." promptTitle="Parâmetro" prompt="Escolha o parâmetro avaliado." type="list">
      <formula1>"DBO,DQO,SST,Nitrogênio total,Fósforo total,Óleos e graxas,Outro parâmetro"</formula1>
    </dataValidation>
    <dataValidation sqref="E29" showDropDown="0" showInputMessage="1" showErrorMessage="1" allowBlank="1" errorTitle="Valor inválido" error="Digite um número maior ou igual a zero, sem a unidade. Use vírgula para decimais (ex.: 0,5)." promptTitle="Concentração de entrada" prompt="Concentração antes do tratamento. Ex.: 250" type="decimal" operator="greaterThanOrEqual">
      <formula1>0</formula1>
    </dataValidation>
    <dataValidation sqref="E30" showDropDown="0" showInputMessage="1" showErrorMessage="1" allowBlank="1" errorTitle="Valor inválido" error="Digite um número maior ou igual a zero, sem a unidade. Use vírgula para decimais (ex.: 0,5)." promptTitle="Concentração de saída" prompt="Concentração depois do tratamento. Ex.: 50" type="decimal" operator="greaterThanOrEqual">
      <formula1>0</formula1>
    </dataValidation>
    <dataValidation sqref="C76" showDropDown="0" showInputMessage="1" showErrorMessage="1" allowBlank="1" errorTitle="Opção inválida" error="Escolha Exemplo 01, Exemplo 02 ou Meu cálculo." promptTitle="Escolha o cenário" prompt="Exemplo 01 e Exemplo 02 usam dados prontos. Meu cálculo usa os valores que você digitar na coluna amarela MEU CÁLCULO." type="list">
      <formula1>"Exemplo 01,Exemplo 02,Meu cálculo"</formula1>
    </dataValidation>
    <dataValidation sqref="E80" showDropDown="0" showInputMessage="1" showErrorMessage="1" allowBlank="1" errorTitle="Opção inválida" error="Escolha uma opção da lista." promptTitle="Parâmetro" prompt="Escolha o parâmetro avaliado." type="list">
      <formula1>"DBO,DQO,SST,Nitrogênio total,Fósforo total,Óleos e graxas,Outro parâmetro"</formula1>
    </dataValidation>
    <dataValidation sqref="E81" showDropDown="0" showInputMessage="1" showErrorMessage="1" allowBlank="1" errorTitle="Valor inválido" error="Digite um número maior ou igual a zero, sem a unidade. Use vírgula para decimais (ex.: 0,5)." promptTitle="Vazão de entrada" prompt="Vazão que entra no sistema. Ex.: 500" type="decimal" operator="greaterThanOrEqual">
      <formula1>0</formula1>
    </dataValidation>
    <dataValidation sqref="E82" showDropDown="0" showInputMessage="1" showErrorMessage="1" allowBlank="1" errorTitle="Valor inválido" error="Digite um número maior ou igual a zero, sem a unidade. Use vírgula para decimais (ex.: 0,5)." promptTitle="Concentração de entrada" prompt="Concentração na entrada. Ex.: 200" type="decimal" operator="greaterThanOrEqual">
      <formula1>0</formula1>
    </dataValidation>
    <dataValidation sqref="E83" showDropDown="0" showInputMessage="1" showErrorMessage="1" allowBlank="1" errorTitle="Valor inválido" error="Digite um número maior ou igual a zero, sem a unidade. Use vírgula para decimais (ex.: 0,5)." promptTitle="Vazão de saída" prompt="Vazão do efluente final. Ex.: 400" type="decimal" operator="greaterThanOrEqual">
      <formula1>0</formula1>
    </dataValidation>
    <dataValidation sqref="E84" showDropDown="0" showInputMessage="1" showErrorMessage="1" allowBlank="1" errorTitle="Valor inválido" error="Digite um número maior ou igual a zero, sem a unidade. Use vírgula para decimais (ex.: 0,5)." promptTitle="Concentração de saída" prompt="Concentração no efluente final. Ex.: 50" type="decimal" operator="greaterThanOrEqual">
      <formula1>0</formula1>
    </dataValidation>
  </dataValidations>
  <hyperlinks>
    <hyperlink ref="B3" location="'00 — Painel Inicial'!A1" tooltip="Ir para 00 — Painel Inicial" display="🏠  Painel"/>
    <hyperlink ref="C3" location="'01 — Comece Aqui'!A1" tooltip="Ir para 01 — Comece Aqui" display="📘  Guia"/>
    <hyperlink ref="E3" location="'08 — Exemplos Resolvidos'!A1" tooltip="Ir para 08 — Exemplos Resolvidos" display="📚  Exemplos"/>
    <hyperlink ref="G3" location="'03 — Carga Poluidora'!A1" tooltip="Ir para 03 — Carga Poluidora" display="◀ Anterior"/>
    <hyperlink ref="H3" location="'05 — Balanço de Massa'!A1" tooltip="Ir para 05 — Balanço de Massa" display="Próxima aba ▶"/>
    <hyperlink ref="B13" location="'04 — Eficiência de Tratamento'!B20" tooltip="Ir para 04 — Eficiência de Tratamento" display="▶ Ferramenta 1"/>
    <hyperlink ref="B14" location="'04 — Eficiência de Tratamento'!B72" tooltip="Ir para 04 — Eficiência de Tratamento" display="▶ Ferramenta 2"/>
    <hyperlink ref="H20" location="'04 — Eficiência de Tratamento'!A1" tooltip="Ir para 04 — Eficiência de Tratamento" display="▲ Voltar ao topo"/>
    <hyperlink ref="H72" location="'04 — Eficiência de Tratamento'!A1" tooltip="Ir para 04 — Eficiência de Tratamento" display="▲ Voltar ao topo"/>
  </hyperlinks>
  <pageMargins left="0.4" right="0.4" top="0.5" bottom="0.5" header="0.5" footer="0.5"/>
  <pageSetup orientation="portrait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L179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4" customWidth="1" min="5" max="5"/>
    <col width="10" customWidth="1" min="6" max="6"/>
    <col width="13" customWidth="1" min="7" max="7"/>
    <col width="36" customWidth="1" min="8" max="8"/>
    <col width="2" customWidth="1" min="9" max="9"/>
    <col width="4" customWidth="1" min="10" max="10"/>
    <col width="34" customWidth="1" min="11" max="11"/>
    <col width="18" customWidth="1" min="12" max="12"/>
  </cols>
  <sheetData>
    <row r="1" ht="40" customHeight="1">
      <c r="A1" s="115" t="n"/>
      <c r="B1" s="36" t="inlineStr">
        <is>
          <t>⚖️  CALCULADORA 04  ·  BALANÇO DE MASSA</t>
        </is>
      </c>
      <c r="C1" s="36" t="n"/>
      <c r="D1" s="36" t="n"/>
      <c r="E1" s="36" t="n"/>
      <c r="F1" s="36" t="n"/>
      <c r="G1" s="36" t="n"/>
      <c r="H1" s="36" t="n"/>
      <c r="I1" s="115" t="n"/>
      <c r="K1" s="57" t="inlineStr">
        <is>
          <t>ÁREA TÉCNICA · cálculos auxiliares (não editar)</t>
        </is>
      </c>
      <c r="L1" s="57" t="n"/>
    </row>
    <row r="2" ht="18" customHeight="1">
      <c r="A2" s="115" t="n"/>
      <c r="B2" s="37" t="inlineStr">
        <is>
          <t>KIT DE 6 CALCULADORAS AUTOMÁTICAS DE ENGENHARIA AMBIENTAL</t>
        </is>
      </c>
      <c r="C2" s="37" t="n"/>
      <c r="D2" s="37" t="n"/>
      <c r="E2" s="37" t="n"/>
      <c r="F2" s="37" t="n"/>
      <c r="G2" s="37" t="n"/>
      <c r="H2" s="37" t="n"/>
      <c r="I2" s="115" t="n"/>
      <c r="K2" s="58" t="inlineStr">
        <is>
          <t>Descrição</t>
        </is>
      </c>
      <c r="L2" s="59" t="inlineStr">
        <is>
          <t>Valor</t>
        </is>
      </c>
    </row>
    <row r="3" ht="26" customHeight="1">
      <c r="B3" s="38" t="inlineStr">
        <is>
          <t>🏠  Painel</t>
        </is>
      </c>
      <c r="C3" s="38" t="inlineStr">
        <is>
          <t>📘  Guia</t>
        </is>
      </c>
      <c r="D3" s="38" t="n"/>
      <c r="E3" s="38" t="inlineStr">
        <is>
          <t>📚  Exemplos</t>
        </is>
      </c>
      <c r="F3" s="38" t="n"/>
      <c r="G3" s="60" t="inlineStr">
        <is>
          <t>◀ Anterior</t>
        </is>
      </c>
      <c r="H3" s="60" t="inlineStr">
        <is>
          <t>Próxima aba ▶</t>
        </is>
      </c>
      <c r="K3" s="61" t="inlineStr">
        <is>
          <t>ferramenta escolhida (número)</t>
        </is>
      </c>
      <c r="L3" s="61">
        <f>IFERROR(MATCH($C$17,{"Ferramenta 1: Mistura de duas correntes","Ferramenta 2: Balanço em decantadores","Ferramenta 3: Acúmulo de massa"},0),0)</f>
        <v>1</v>
      </c>
    </row>
    <row r="4" ht="10" customHeight="1">
      <c r="K4" s="61" t="inlineStr">
        <is>
          <t>índice do cenário (1, 2 ou 3)</t>
        </is>
      </c>
      <c r="L4" s="61">
        <f>IFERROR(MATCH($C$25,{"Exemplo 01","Exemplo 02","Meu cálculo"},0),0)</f>
        <v>1</v>
      </c>
    </row>
    <row r="5" ht="32" customHeight="1">
      <c r="B5" s="62" t="inlineStr">
        <is>
          <t>COMO USAR:   ① Escolha a ferramenta abaixo   ② Escolha o cenário na lista amarela   ③ Para usar seus dados, escolha Meu cálculo e digite na coluna amarela   ④ Veja o resultado no card verde   ⑤ Confira a conta em ENTENDA O CÁLCULO</t>
        </is>
      </c>
      <c r="C5" s="62" t="n"/>
      <c r="D5" s="62" t="n"/>
      <c r="E5" s="62" t="n"/>
      <c r="F5" s="62" t="n"/>
      <c r="G5" s="62" t="n"/>
      <c r="H5" s="62" t="n"/>
      <c r="K5" s="61" t="inlineStr">
        <is>
          <t>[Mistura de duas correntes] Qt</t>
        </is>
      </c>
      <c r="L5" s="61">
        <f>IFERROR($G$29+$G$31,"")</f>
        <v>200</v>
      </c>
    </row>
    <row r="6" ht="8" customHeight="1">
      <c r="K6" s="61" t="inlineStr">
        <is>
          <t>[Mistura de duas correntes] QC</t>
        </is>
      </c>
      <c r="L6" s="61">
        <f>IFERROR($G$29*$G$30+$G$31*$G$32,"")</f>
        <v>28000</v>
      </c>
    </row>
    <row r="7" ht="24" customHeight="1">
      <c r="B7" s="63" t="inlineStr">
        <is>
          <t>A · IDENTIFICAÇÃO</t>
        </is>
      </c>
      <c r="C7" s="63" t="n"/>
      <c r="D7" s="63" t="n"/>
      <c r="E7" s="63" t="n"/>
      <c r="F7" s="63" t="n"/>
      <c r="G7" s="63" t="n"/>
      <c r="H7" s="63" t="n"/>
      <c r="K7" s="61" t="inlineStr">
        <is>
          <t>[Mistura de duas correntes] Cf</t>
        </is>
      </c>
      <c r="L7" s="61">
        <f>IFERROR($L$6/$L$5,"")</f>
        <v>140</v>
      </c>
    </row>
    <row r="8" ht="19" customHeight="1">
      <c r="B8" s="64" t="inlineStr">
        <is>
          <t>O que calcula</t>
        </is>
      </c>
      <c r="C8" s="25" t="inlineStr">
        <is>
          <t>Concentrações e massas em sistemas com entradas e saídas, aplicando a conservação da massa.</t>
        </is>
      </c>
      <c r="D8" s="25" t="n"/>
      <c r="E8" s="25" t="n"/>
      <c r="F8" s="25" t="n"/>
      <c r="G8" s="25" t="n"/>
      <c r="H8" s="25" t="n"/>
      <c r="K8" s="61" t="inlineStr">
        <is>
          <t>[Mistura de duas correntes] L1</t>
        </is>
      </c>
      <c r="L8" s="61">
        <f>IFERROR($G$29*$G$30*0.001,"")</f>
        <v>24</v>
      </c>
    </row>
    <row r="9" ht="32" customHeight="1">
      <c r="B9" s="64" t="inlineStr">
        <is>
          <t>Quando usar</t>
        </is>
      </c>
      <c r="C9" s="25" t="inlineStr">
        <is>
          <t>Mistura de efluentes, lançamento em rios, decantadores e adensadores, tanques e reatores, problemas de regime permanente.</t>
        </is>
      </c>
      <c r="D9" s="25" t="n"/>
      <c r="E9" s="25" t="n"/>
      <c r="F9" s="25" t="n"/>
      <c r="G9" s="25" t="n"/>
      <c r="H9" s="25" t="n"/>
      <c r="K9" s="61" t="inlineStr">
        <is>
          <t>[Mistura de duas correntes] L2</t>
        </is>
      </c>
      <c r="L9" s="61">
        <f>IFERROR($G$31*$G$32*0.001,"")</f>
        <v>4</v>
      </c>
    </row>
    <row r="10" ht="19" customHeight="1">
      <c r="B10" s="64" t="inlineStr">
        <is>
          <t>Exemplo prático</t>
        </is>
      </c>
      <c r="C10" s="25" t="inlineStr">
        <is>
          <t>Duas correntes de 120 e 80 m³/dia, com 200 e 50 mg/L, formam uma mistura de 140 mg/L.</t>
        </is>
      </c>
      <c r="D10" s="25" t="n"/>
      <c r="E10" s="25" t="n"/>
      <c r="F10" s="25" t="n"/>
      <c r="G10" s="25" t="n"/>
      <c r="H10" s="25" t="n"/>
      <c r="K10" s="61" t="inlineStr">
        <is>
          <t>[Mistura de duas correntes] Lt</t>
        </is>
      </c>
      <c r="L10" s="61">
        <f>IFERROR($L$8+$L$9,"")</f>
        <v>28</v>
      </c>
    </row>
    <row r="11" ht="10" customHeight="1">
      <c r="K11" s="61" t="inlineStr">
        <is>
          <t>[Mistura de duas correntes] Cmin</t>
        </is>
      </c>
      <c r="L11" s="61">
        <f>IFERROR(MIN($G$30,$G$32),"")</f>
        <v>50</v>
      </c>
    </row>
    <row r="12" ht="24" customHeight="1">
      <c r="B12" s="63" t="inlineStr">
        <is>
          <t>FERRAMENTAS DESTA CALCULADORA</t>
        </is>
      </c>
      <c r="C12" s="63" t="n"/>
      <c r="D12" s="63" t="n"/>
      <c r="E12" s="63" t="n"/>
      <c r="F12" s="63" t="n"/>
      <c r="G12" s="63" t="n"/>
      <c r="H12" s="63" t="n"/>
      <c r="K12" s="61" t="inlineStr">
        <is>
          <t>[Mistura de duas correntes] Cmax</t>
        </is>
      </c>
      <c r="L12" s="61">
        <f>IFERROR(MAX($G$30,$G$32),"")</f>
        <v>200</v>
      </c>
    </row>
    <row r="13" ht="29.4" customHeight="1">
      <c r="B13" s="38" t="inlineStr">
        <is>
          <t>▶ Ferramenta 1</t>
        </is>
      </c>
      <c r="C13" s="65" t="inlineStr">
        <is>
          <t>Mistura de duas correntes: Calcula a vazão total e a concentração final quando duas correntes se juntam. Considera mistura completa, sem perdas e sem transformação do constituinte.</t>
        </is>
      </c>
      <c r="D13" s="65" t="n"/>
      <c r="E13" s="65" t="n"/>
      <c r="F13" s="65" t="n"/>
      <c r="G13" s="65" t="n"/>
      <c r="H13" s="65" t="n"/>
      <c r="K13" s="61" t="inlineStr">
        <is>
          <t>[Mistura de duas correntes] mensagem de validação</t>
        </is>
      </c>
      <c r="L13" s="61" t="str">
        <f>IFERROR(IF($L$4=0,"Escolha um cenário na lista: Exemplo 01, Exemplo 02 ou Meu cálculo.",IF($G$29="","Informe a vazão da corrente 1 para continuar.",IF(NOT(ISNUMBER($G$29)),"A vazão da corrente 1 precisa ser um número. Confira o valor digitado.",IF($G$29&lt;=0,"A vazão da corrente 1 deve ser maior que zero.",IF($G$30="","Informe a concentração da corrente 1 para continuar (digite 0 se for o caso).",IF(NOT(ISNUMBER($G$30)),"A concentração da corrente 1 precisa ser um número. Confira o valor digitado.",IF($G$30&lt;0,"A concentração da corrente 1 não pode ser negativa.",IF($G$31="","Informe a vazão da corrente 2 para continuar.",IF(NOT(ISNUMBER($G$31)),"A vazão da corrente 2 precisa ser um número. Confira o valor digitado.",IF($G$31&lt;=0,"A vazão da corrente 2 deve ser maior que zero.",IF($G$32="","Informe a concentração da corrente 2 para continuar (digite 0 se for o caso).",IF(NOT(ISNUMBER($G$32)),"A concentração da corrente 2 precisa ser um número. Confira o valor digitado.",IF($G$32&lt;0,"A concentração da corrente 2 não pode ser negativa.",""))))))))))))),"Resultado indisponível: existem dados inválidos.")</f>
        <v/>
      </c>
    </row>
    <row r="14" ht="29.4" customHeight="1">
      <c r="B14" s="38" t="inlineStr">
        <is>
          <t>▶ Ferramenta 2</t>
        </is>
      </c>
      <c r="C14" s="65" t="inlineStr">
        <is>
          <t>Balanço de massa em decantadores: Calcula a concentração de sólidos no lodo a partir da entrada e do clarificado e confere se o balanço hidráulico fecha (Qe = Qa + Ql).</t>
        </is>
      </c>
      <c r="D14" s="65" t="n"/>
      <c r="E14" s="65" t="n"/>
      <c r="F14" s="65" t="n"/>
      <c r="G14" s="65" t="n"/>
      <c r="H14" s="65" t="n"/>
      <c r="K14" s="61" t="inlineStr">
        <is>
          <t>[Mistura de duas correntes] dados válidos?</t>
        </is>
      </c>
      <c r="L14" s="61" t="b">
        <f>$L$13=""</f>
        <v>1</v>
      </c>
    </row>
    <row r="15" ht="29.4" customHeight="1">
      <c r="B15" s="38" t="inlineStr">
        <is>
          <t>▶ Ferramenta 3</t>
        </is>
      </c>
      <c r="C15" s="65" t="inlineStr">
        <is>
          <t>Acúmulo de massa: Aplica a equação geral do balanço de massa para saber se o constituinte está acumulando, diminuindo ou estável dentro do sistema. Todos os termos precisam estar na mesma unidade de massa por tempo.</t>
        </is>
      </c>
      <c r="D15" s="65" t="n"/>
      <c r="E15" s="65" t="n"/>
      <c r="F15" s="65" t="n"/>
      <c r="G15" s="65" t="n"/>
      <c r="H15" s="65" t="n"/>
      <c r="K15" s="61" t="inlineStr">
        <is>
          <t>[Mistura de duas correntes] Cf (arredondado)</t>
        </is>
      </c>
      <c r="L15" s="61">
        <f>IFERROR(ROUND($L$7,IF($L$7=0,0,4-INT(LOG10(ABS($L$7))))),"")</f>
        <v>140</v>
      </c>
    </row>
    <row r="16" ht="6" customHeight="1">
      <c r="K16" s="61" t="inlineStr">
        <is>
          <t>[Mistura de duas correntes] Cf (texto)</t>
        </is>
      </c>
      <c r="L16" s="61" t="str">
        <f>IF(ISNUMBER($L$15),FIXED($L$15,IF(ROUND($L$15,0)=$L$15,0,IF(ROUND($L$15,1)=$L$15,1,IF(ROUND($L$15,2)=$L$15,2,IF(ROUND($L$15,3)=$L$15,3,IF(ROUND($L$15,4)=$L$15,4,IF(ROUND($L$15,5)=$L$15,5,IF(ROUND($L$15,6)=$L$15,6,7)))))))),"?")</f>
        <v>140</v>
      </c>
    </row>
    <row r="17" ht="30" customHeight="1">
      <c r="B17" s="47" t="inlineStr">
        <is>
          <t>Ferramenta escolhida ▼</t>
        </is>
      </c>
      <c r="C17" s="66" t="inlineStr">
        <is>
          <t>Ferramenta 1: Mistura de duas correntes</t>
        </is>
      </c>
      <c r="D17" s="67" t="n"/>
      <c r="E17" s="67" t="n"/>
      <c r="F17" s="68" t="inlineStr">
        <is>
          <t>A ferramenta escolhida fica com o título em verde. Use os botões azuis acima para ir até ela.</t>
        </is>
      </c>
      <c r="G17" s="68" t="n"/>
      <c r="H17" s="68" t="n"/>
      <c r="K17" s="61" t="inlineStr">
        <is>
          <t>[Mistura de duas correntes] Cmax (arredondado)</t>
        </is>
      </c>
      <c r="L17" s="61">
        <f>IFERROR(ROUND($L$12,IF($L$12=0,0,4-INT(LOG10(ABS($L$12))))),"")</f>
        <v>200</v>
      </c>
    </row>
    <row r="18" ht="28" customHeight="1">
      <c r="B18" s="69" t="inlineStr">
        <is>
          <t>Resultado atual</t>
        </is>
      </c>
      <c r="C18" s="70" t="str">
        <f>IFERROR(CHOOSE($L$3,$L$35,$L$74,$L$94),"—")</f>
        <v>140 mg/L</v>
      </c>
      <c r="D18" s="70" t="n"/>
      <c r="E18" s="70" t="n"/>
      <c r="F18" s="70" t="n"/>
      <c r="G18" s="70" t="n"/>
      <c r="H18" s="70" t="n"/>
      <c r="K18" s="61" t="inlineStr">
        <is>
          <t>[Mistura de duas correntes] Cmax (texto)</t>
        </is>
      </c>
      <c r="L18" s="61" t="str">
        <f>IF(ISNUMBER($L$17),FIXED($L$17,IF(ROUND($L$17,0)=$L$17,0,IF(ROUND($L$17,1)=$L$17,1,IF(ROUND($L$17,2)=$L$17,2,IF(ROUND($L$17,3)=$L$17,3,IF(ROUND($L$17,4)=$L$17,4,IF(ROUND($L$17,5)=$L$17,5,IF(ROUND($L$17,6)=$L$17,6,7)))))))),"?")</f>
        <v>200</v>
      </c>
    </row>
    <row r="19" ht="21" customHeight="1">
      <c r="B19" s="69" t="inlineStr">
        <is>
          <t>Status</t>
        </is>
      </c>
      <c r="C19" s="71" t="str">
        <f>IFERROR(CHOOSE($L$3,C41,C94,C147),"Escolha uma ferramenta.")</f>
        <v>✔ Dados válidos. Resultado calculado automaticamente.</v>
      </c>
      <c r="D19" s="71" t="n"/>
      <c r="E19" s="71" t="n"/>
      <c r="F19" s="71" t="n"/>
      <c r="G19" s="71" t="n"/>
      <c r="H19" s="71" t="n"/>
      <c r="K19" s="61" t="inlineStr">
        <is>
          <t>[Mistura de duas correntes] Cmin (arredondado)</t>
        </is>
      </c>
      <c r="L19" s="61">
        <f>IFERROR(ROUND($L$11,IF($L$11=0,0,4-INT(LOG10(ABS($L$11))))),"")</f>
        <v>50</v>
      </c>
    </row>
    <row r="20" ht="14" customHeight="1">
      <c r="K20" s="61" t="inlineStr">
        <is>
          <t>[Mistura de duas correntes] Cmin (texto)</t>
        </is>
      </c>
      <c r="L20" s="61" t="str">
        <f>IF(ISNUMBER($L$19),FIXED($L$19,IF(ROUND($L$19,0)=$L$19,0,IF(ROUND($L$19,1)=$L$19,1,IF(ROUND($L$19,2)=$L$19,2,IF(ROUND($L$19,3)=$L$19,3,IF(ROUND($L$19,4)=$L$19,4,IF(ROUND($L$19,5)=$L$19,5,IF(ROUND($L$19,6)=$L$19,6,7)))))))),"?")</f>
        <v>50</v>
      </c>
    </row>
    <row r="21" ht="30" customHeight="1">
      <c r="B21" s="72" t="inlineStr">
        <is>
          <t>FERRAMENTA 1  ·  MISTURA DE DUAS CORRENTES</t>
        </is>
      </c>
      <c r="C21" s="72" t="n"/>
      <c r="D21" s="72" t="n"/>
      <c r="E21" s="72" t="n"/>
      <c r="F21" s="72" t="n"/>
      <c r="G21" s="72" t="n"/>
      <c r="H21" s="73" t="inlineStr">
        <is>
          <t>▲ Voltar ao topo</t>
        </is>
      </c>
      <c r="K21" s="61" t="inlineStr">
        <is>
          <t>[Mistura de duas correntes] Lt (arredondado)</t>
        </is>
      </c>
      <c r="L21" s="61">
        <f>IFERROR(ROUND($L$10,IF($L$10=0,0,4-INT(LOG10(ABS($L$10))))),"")</f>
        <v>28</v>
      </c>
    </row>
    <row r="22" ht="32" customHeight="1">
      <c r="B22" s="74" t="inlineStr">
        <is>
          <t>Calcula a vazão total e a concentração final quando duas correntes se juntam. Considera mistura completa, sem perdas e sem transformação do constituinte.</t>
        </is>
      </c>
      <c r="C22" s="74" t="n"/>
      <c r="D22" s="74" t="n"/>
      <c r="E22" s="74" t="n"/>
      <c r="F22" s="74" t="n"/>
      <c r="G22" s="74" t="n"/>
      <c r="H22" s="74" t="n"/>
      <c r="K22" s="61" t="inlineStr">
        <is>
          <t>[Mistura de duas correntes] Lt (texto)</t>
        </is>
      </c>
      <c r="L22" s="61" t="str">
        <f>IF(ISNUMBER($L$21),FIXED($L$21,IF(ROUND($L$21,0)=$L$21,0,IF(ROUND($L$21,1)=$L$21,1,IF(ROUND($L$21,2)=$L$21,2,IF(ROUND($L$21,3)=$L$21,3,IF(ROUND($L$21,4)=$L$21,4,IF(ROUND($L$21,5)=$L$21,5,IF(ROUND($L$21,6)=$L$21,6,7)))))))),"?")</f>
        <v>28</v>
      </c>
    </row>
    <row r="23" ht="6" customHeight="1">
      <c r="K23" s="61" t="inlineStr">
        <is>
          <t>[Mistura de duas correntes] C1 (arredondado)</t>
        </is>
      </c>
      <c r="L23" s="61">
        <f>IFERROR(ROUND($G$30,IF($G$30=0,0,4-INT(LOG10(ABS($G$30))))),"")</f>
        <v>200</v>
      </c>
    </row>
    <row r="24" ht="20" customHeight="1">
      <c r="B24" s="75" t="inlineStr">
        <is>
          <t>B · ESCOLHA DO CENÁRIO</t>
        </is>
      </c>
      <c r="C24" s="75" t="n"/>
      <c r="D24" s="75" t="n"/>
      <c r="E24" s="75" t="n"/>
      <c r="F24" s="75" t="n"/>
      <c r="G24" s="75" t="n"/>
      <c r="H24" s="75" t="n"/>
      <c r="K24" s="61" t="inlineStr">
        <is>
          <t>[Mistura de duas correntes] C1 (texto)</t>
        </is>
      </c>
      <c r="L24" s="61" t="str">
        <f>IF(ISNUMBER($L$23),FIXED($L$23,IF(ROUND($L$23,0)=$L$23,0,IF(ROUND($L$23,1)=$L$23,1,IF(ROUND($L$23,2)=$L$23,2,IF(ROUND($L$23,3)=$L$23,3,IF(ROUND($L$23,4)=$L$23,4,IF(ROUND($L$23,5)=$L$23,5,IF(ROUND($L$23,6)=$L$23,6,7)))))))),"?")</f>
        <v>200</v>
      </c>
    </row>
    <row r="25" ht="30" customHeight="1">
      <c r="B25" s="47" t="inlineStr">
        <is>
          <t>Cenário  ▼</t>
        </is>
      </c>
      <c r="C25" s="76" t="inlineStr">
        <is>
          <t>Exemplo 01</t>
        </is>
      </c>
      <c r="D25" s="77" t="n"/>
      <c r="E25" s="68" t="inlineStr">
        <is>
          <t>Exemplo 01 e Exemplo 02 usam dados prontos. Meu cálculo usa os valores que você digitar na coluna amarela.</t>
        </is>
      </c>
      <c r="F25" s="68" t="n"/>
      <c r="G25" s="68" t="n"/>
      <c r="H25" s="68" t="n"/>
      <c r="K25" s="61" t="inlineStr">
        <is>
          <t>[Mistura de duas correntes] C2 (arredondado)</t>
        </is>
      </c>
      <c r="L25" s="61">
        <f>IFERROR(ROUND($G$32,IF($G$32=0,0,4-INT(LOG10(ABS($G$32))))),"")</f>
        <v>50</v>
      </c>
    </row>
    <row r="26" ht="6" customHeight="1">
      <c r="K26" s="61" t="inlineStr">
        <is>
          <t>[Mistura de duas correntes] C2 (texto)</t>
        </is>
      </c>
      <c r="L26" s="61" t="str">
        <f>IF(ISNUMBER($L$25),FIXED($L$25,IF(ROUND($L$25,0)=$L$25,0,IF(ROUND($L$25,1)=$L$25,1,IF(ROUND($L$25,2)=$L$25,2,IF(ROUND($L$25,3)=$L$25,3,IF(ROUND($L$25,4)=$L$25,4,IF(ROUND($L$25,5)=$L$25,5,IF(ROUND($L$25,6)=$L$25,6,7)))))))),"?")</f>
        <v>50</v>
      </c>
    </row>
    <row r="27" ht="20" customHeight="1">
      <c r="B27" s="75" t="inlineStr">
        <is>
          <t>C · DADOS DE ENTRADA</t>
        </is>
      </c>
      <c r="C27" s="75" t="n"/>
      <c r="D27" s="75" t="n"/>
      <c r="E27" s="75" t="n"/>
      <c r="F27" s="75" t="n"/>
      <c r="G27" s="75" t="n"/>
      <c r="H27" s="75" t="n"/>
      <c r="K27" s="61" t="inlineStr">
        <is>
          <t>[Mistura de duas correntes] Q1 (arredondado)</t>
        </is>
      </c>
      <c r="L27" s="61">
        <f>IFERROR(ROUND($G$29,IF($G$29=0,0,4-INT(LOG10(ABS($G$29))))),"")</f>
        <v>120</v>
      </c>
    </row>
    <row r="28" ht="22" customHeight="1">
      <c r="B28" s="78" t="inlineStr">
        <is>
          <t>Variável</t>
        </is>
      </c>
      <c r="C28" s="78" t="inlineStr">
        <is>
          <t>Exemplo 01</t>
        </is>
      </c>
      <c r="D28" s="78" t="inlineStr">
        <is>
          <t>Exemplo 02</t>
        </is>
      </c>
      <c r="E28" s="79" t="inlineStr">
        <is>
          <t>MEU CÁLCULO</t>
        </is>
      </c>
      <c r="F28" s="78" t="inlineStr">
        <is>
          <t>Unidade</t>
        </is>
      </c>
      <c r="G28" s="80" t="inlineStr">
        <is>
          <t>Valor em uso</t>
        </is>
      </c>
      <c r="H28" s="78" t="inlineStr">
        <is>
          <t>Orientação de preenchimento</t>
        </is>
      </c>
      <c r="K28" s="61" t="inlineStr">
        <is>
          <t>[Mistura de duas correntes] Q1 (texto)</t>
        </is>
      </c>
      <c r="L28" s="61" t="str">
        <f>IF(ISNUMBER($L$27),FIXED($L$27,IF(ROUND($L$27,0)=$L$27,0,IF(ROUND($L$27,1)=$L$27,1,IF(ROUND($L$27,2)=$L$27,2,IF(ROUND($L$27,3)=$L$27,3,IF(ROUND($L$27,4)=$L$27,4,IF(ROUND($L$27,5)=$L$27,5,IF(ROUND($L$27,6)=$L$27,6,7)))))))),"?")</f>
        <v>120</v>
      </c>
    </row>
    <row r="29" ht="22" customHeight="1">
      <c r="B29" s="47" t="inlineStr">
        <is>
          <t>Vazão da corrente 1</t>
        </is>
      </c>
      <c r="C29" s="81" t="n">
        <v>120</v>
      </c>
      <c r="D29" s="81" t="n">
        <v>432</v>
      </c>
      <c r="E29" s="82" t="n"/>
      <c r="F29" s="83" t="inlineStr">
        <is>
          <t>m³/dia</t>
        </is>
      </c>
      <c r="G29" s="84">
        <f>IF($L$4=1,C29,IF($L$4=2,D29,IF($L$4=3,IF(E29="","",E29),"")))</f>
        <v>120</v>
      </c>
      <c r="H29" s="85" t="inlineStr">
        <is>
          <t>Vazão da primeira corrente. Ex.: 120</t>
        </is>
      </c>
      <c r="K29" s="61" t="inlineStr">
        <is>
          <t>[Mistura de duas correntes] Q2 (arredondado)</t>
        </is>
      </c>
      <c r="L29" s="61">
        <f>IFERROR(ROUND($G$31,IF($G$31=0,0,4-INT(LOG10(ABS($G$31))))),"")</f>
        <v>80</v>
      </c>
    </row>
    <row r="30" ht="22" customHeight="1">
      <c r="B30" s="47" t="inlineStr">
        <is>
          <t>Concentração da corrente 1</t>
        </is>
      </c>
      <c r="C30" s="81" t="n">
        <v>200</v>
      </c>
      <c r="D30" s="81" t="n">
        <v>60</v>
      </c>
      <c r="E30" s="82" t="n"/>
      <c r="F30" s="83" t="inlineStr">
        <is>
          <t>mg/L</t>
        </is>
      </c>
      <c r="G30" s="84">
        <f>IF($L$4=1,C30,IF($L$4=2,D30,IF($L$4=3,IF(E30="","",E30),"")))</f>
        <v>200</v>
      </c>
      <c r="H30" s="85" t="inlineStr">
        <is>
          <t>Concentração da primeira corrente. Ex.: 200</t>
        </is>
      </c>
      <c r="K30" s="61" t="inlineStr">
        <is>
          <t>[Mistura de duas correntes] Q2 (texto)</t>
        </is>
      </c>
      <c r="L30" s="61" t="str">
        <f>IF(ISNUMBER($L$29),FIXED($L$29,IF(ROUND($L$29,0)=$L$29,0,IF(ROUND($L$29,1)=$L$29,1,IF(ROUND($L$29,2)=$L$29,2,IF(ROUND($L$29,3)=$L$29,3,IF(ROUND($L$29,4)=$L$29,4,IF(ROUND($L$29,5)=$L$29,5,IF(ROUND($L$29,6)=$L$29,6,7)))))))),"?")</f>
        <v>80</v>
      </c>
    </row>
    <row r="31" ht="22" customHeight="1">
      <c r="B31" s="47" t="inlineStr">
        <is>
          <t>Vazão da corrente 2</t>
        </is>
      </c>
      <c r="C31" s="81" t="n">
        <v>80</v>
      </c>
      <c r="D31" s="81" t="n">
        <v>8640</v>
      </c>
      <c r="E31" s="82" t="n"/>
      <c r="F31" s="83" t="inlineStr">
        <is>
          <t>m³/dia</t>
        </is>
      </c>
      <c r="G31" s="84">
        <f>IF($L$4=1,C31,IF($L$4=2,D31,IF($L$4=3,IF(E31="","",E31),"")))</f>
        <v>80</v>
      </c>
      <c r="H31" s="85" t="inlineStr">
        <is>
          <t>Vazão da segunda corrente. Ex.: 80</t>
        </is>
      </c>
      <c r="K31" s="61" t="inlineStr">
        <is>
          <t>[Mistura de duas correntes] QC (arredondado)</t>
        </is>
      </c>
      <c r="L31" s="61">
        <f>IFERROR(ROUND($L$6,IF($L$6=0,0,4-INT(LOG10(ABS($L$6))))),"")</f>
        <v>28000</v>
      </c>
    </row>
    <row r="32" ht="22" customHeight="1">
      <c r="B32" s="47" t="inlineStr">
        <is>
          <t>Concentração da corrente 2</t>
        </is>
      </c>
      <c r="C32" s="81" t="n">
        <v>50</v>
      </c>
      <c r="D32" s="81" t="n">
        <v>2</v>
      </c>
      <c r="E32" s="82" t="n"/>
      <c r="F32" s="83" t="inlineStr">
        <is>
          <t>mg/L</t>
        </is>
      </c>
      <c r="G32" s="84">
        <f>IF($L$4=1,C32,IF($L$4=2,D32,IF($L$4=3,IF(E32="","",E32),"")))</f>
        <v>50</v>
      </c>
      <c r="H32" s="85" t="inlineStr">
        <is>
          <t>Concentração da segunda corrente. Ex.: 50</t>
        </is>
      </c>
      <c r="K32" s="61" t="inlineStr">
        <is>
          <t>[Mistura de duas correntes] QC (texto)</t>
        </is>
      </c>
      <c r="L32" s="61" t="str">
        <f>IF(ISNUMBER($L$31),FIXED($L$31,IF(ROUND($L$31,0)=$L$31,0,IF(ROUND($L$31,1)=$L$31,1,IF(ROUND($L$31,2)=$L$31,2,IF(ROUND($L$31,3)=$L$31,3,IF(ROUND($L$31,4)=$L$31,4,IF(ROUND($L$31,5)=$L$31,5,IF(ROUND($L$31,6)=$L$31,6,7)))))))),"?")</f>
        <v>28.000</v>
      </c>
    </row>
    <row r="33" ht="8" customHeight="1">
      <c r="K33" s="61" t="inlineStr">
        <is>
          <t>[Mistura de duas correntes] Qt (arredondado)</t>
        </is>
      </c>
      <c r="L33" s="61">
        <f>IFERROR(ROUND($L$5,IF($L$5=0,0,4-INT(LOG10(ABS($L$5))))),"")</f>
        <v>200</v>
      </c>
    </row>
    <row r="34" ht="24" customHeight="1">
      <c r="B34" s="86" t="inlineStr">
        <is>
          <t>D · RESULTADO AUTOMÁTICO</t>
        </is>
      </c>
      <c r="C34" s="86" t="n"/>
      <c r="D34" s="86" t="n"/>
      <c r="E34" s="86" t="n"/>
      <c r="F34" s="86" t="n"/>
      <c r="G34" s="86" t="n"/>
      <c r="H34" s="86" t="n"/>
      <c r="K34" s="61" t="inlineStr">
        <is>
          <t>[Mistura de duas correntes] Qt (texto)</t>
        </is>
      </c>
      <c r="L34" s="61" t="str">
        <f>IF(ISNUMBER($L$33),FIXED($L$33,IF(ROUND($L$33,0)=$L$33,0,IF(ROUND($L$33,1)=$L$33,1,IF(ROUND($L$33,2)=$L$33,2,IF(ROUND($L$33,3)=$L$33,3,IF(ROUND($L$33,4)=$L$33,4,IF(ROUND($L$33,5)=$L$33,5,IF(ROUND($L$33,6)=$L$33,6,7)))))))),"?")</f>
        <v>200</v>
      </c>
    </row>
    <row r="35" ht="22" customHeight="1">
      <c r="B35" s="87" t="inlineStr">
        <is>
          <t>CONCENTRAÇÃO FINAL DA MISTURA</t>
        </is>
      </c>
      <c r="C35" s="87" t="n"/>
      <c r="D35" s="87" t="n"/>
      <c r="E35" s="88" t="inlineStr">
        <is>
          <t>OUTROS RESULTADOS</t>
        </is>
      </c>
      <c r="F35" s="88" t="n"/>
      <c r="G35" s="88" t="n"/>
      <c r="H35" s="88" t="n"/>
      <c r="K35" s="61" t="inlineStr">
        <is>
          <t>[Mistura de duas correntes] resumo</t>
        </is>
      </c>
      <c r="L35" s="61" t="str">
        <f>IF($L$14,$L$16&amp;" "&amp;"mg/L","—")</f>
        <v>140 mg/L</v>
      </c>
    </row>
    <row r="36" ht="21" customHeight="1">
      <c r="B36" s="89">
        <f>IF($L$14,$L$7,"—")</f>
        <v>140</v>
      </c>
      <c r="C36" s="90" t="n"/>
      <c r="D36" s="91" t="inlineStr">
        <is>
          <t>mg/L</t>
        </is>
      </c>
      <c r="E36" s="92" t="inlineStr">
        <is>
          <t>Vazão total</t>
        </is>
      </c>
      <c r="F36" s="92" t="n"/>
      <c r="G36" s="93">
        <f>IF($L$14,$L$5,"—")</f>
        <v>200</v>
      </c>
      <c r="H36" s="94" t="inlineStr">
        <is>
          <t>m³/dia</t>
        </is>
      </c>
      <c r="K36" s="61" t="inlineStr">
        <is>
          <t>índice do cenário (1, 2 ou 3)</t>
        </is>
      </c>
      <c r="L36" s="61">
        <f>IFERROR(MATCH($C$77,{"Exemplo 01","Exemplo 02","Meu cálculo"},0),0)</f>
        <v>1</v>
      </c>
    </row>
    <row r="37" ht="21" customHeight="1">
      <c r="B37" s="90" t="n"/>
      <c r="C37" s="90" t="n"/>
      <c r="D37" s="91" t="n"/>
      <c r="E37" s="92" t="inlineStr">
        <is>
          <t>Carga da corrente 1</t>
        </is>
      </c>
      <c r="F37" s="92" t="n"/>
      <c r="G37" s="93">
        <f>IF($L$14,$L$8,"—")</f>
        <v>24</v>
      </c>
      <c r="H37" s="94" t="inlineStr">
        <is>
          <t>kg/dia</t>
        </is>
      </c>
      <c r="K37" s="61" t="inlineStr">
        <is>
          <t>[Balanço em decantadores] QeCe</t>
        </is>
      </c>
      <c r="L37" s="61">
        <f>IFERROR($G$81*$G$82,"")</f>
        <v>90000</v>
      </c>
    </row>
    <row r="38" ht="21" customHeight="1">
      <c r="B38" s="90" t="n"/>
      <c r="C38" s="90" t="n"/>
      <c r="D38" s="91" t="n"/>
      <c r="E38" s="92" t="inlineStr">
        <is>
          <t>Carga da corrente 2</t>
        </is>
      </c>
      <c r="F38" s="92" t="n"/>
      <c r="G38" s="93">
        <f>IF($L$14,$L$9,"—")</f>
        <v>4</v>
      </c>
      <c r="H38" s="94" t="inlineStr">
        <is>
          <t>kg/dia</t>
        </is>
      </c>
      <c r="K38" s="61" t="inlineStr">
        <is>
          <t>[Balanço em decantadores] QaCa</t>
        </is>
      </c>
      <c r="L38" s="61">
        <f>IFERROR($G$83*$G$84,"")</f>
        <v>14700</v>
      </c>
    </row>
    <row r="39" ht="21" customHeight="1">
      <c r="B39" s="90" t="n"/>
      <c r="C39" s="90" t="n"/>
      <c r="D39" s="91" t="n"/>
      <c r="E39" s="92" t="inlineStr">
        <is>
          <t>Carga total</t>
        </is>
      </c>
      <c r="F39" s="92" t="n"/>
      <c r="G39" s="93">
        <f>IF($L$14,$L$10,"—")</f>
        <v>28</v>
      </c>
      <c r="H39" s="94" t="inlineStr">
        <is>
          <t>kg/dia</t>
        </is>
      </c>
      <c r="K39" s="61" t="inlineStr">
        <is>
          <t>[Balanço em decantadores] Cl</t>
        </is>
      </c>
      <c r="L39" s="61">
        <f>IFERROR(($L$37-$L$38)/$G$85,"")</f>
        <v>7530</v>
      </c>
    </row>
    <row r="40" ht="47" customHeight="1">
      <c r="B40" s="96" t="inlineStr">
        <is>
          <t>Interpretação</t>
        </is>
      </c>
      <c r="C40" s="97" t="str">
        <f>IF($L$14,IF($G$30=$G$32,"As duas correntes têm a mesma concentração, então a mistura também fica com "&amp;$L$16&amp;" mg/L.","A mistura fica com "&amp;$L$16&amp;" mg/L. O valor está entre "&amp;$L$20&amp;" e "&amp;$L$18&amp;" mg/L e fica mais perto da corrente de maior vazão, porque a média é ponderada pelas vazões.")&amp;" A carga total ("&amp;$L$22&amp;" kg/dia) é a soma das cargas das duas correntes.","Resultado indisponível: corrija o item indicado em Status dos dados.")</f>
        <v>A mistura fica com 140 mg/L. O valor está entre 50 e 200 mg/L e fica mais perto da corrente de maior vazão, porque a média é ponderada pelas vazões. A carga total (28 kg/dia) é a soma das cargas das duas correntes.</v>
      </c>
      <c r="D40" s="97" t="n"/>
      <c r="E40" s="97" t="n"/>
      <c r="F40" s="97" t="n"/>
      <c r="G40" s="97" t="n"/>
      <c r="H40" s="97" t="n"/>
      <c r="K40" s="61" t="inlineStr">
        <is>
          <t>[Balanço em decantadores] Le</t>
        </is>
      </c>
      <c r="L40" s="61">
        <f>IFERROR($L$37*0.001,"")</f>
        <v>90</v>
      </c>
    </row>
    <row r="41" ht="21" customHeight="1">
      <c r="B41" s="96" t="inlineStr">
        <is>
          <t>Status dos dados</t>
        </is>
      </c>
      <c r="C41" s="98" t="str">
        <f>IF($L$14,"✔ Dados válidos. Resultado calculado automaticamente.","⚠ "&amp;$L$13)</f>
        <v>✔ Dados válidos. Resultado calculado automaticamente.</v>
      </c>
      <c r="D41" s="98" t="n"/>
      <c r="E41" s="98" t="n"/>
      <c r="F41" s="98" t="n"/>
      <c r="G41" s="98" t="n"/>
      <c r="H41" s="98" t="n"/>
      <c r="K41" s="61" t="inlineStr">
        <is>
          <t>[Balanço em decantadores] La</t>
        </is>
      </c>
      <c r="L41" s="61">
        <f>IFERROR($L$38*0.001,"")</f>
        <v>14.7</v>
      </c>
    </row>
    <row r="42" ht="10" customHeight="1">
      <c r="K42" s="61" t="inlineStr">
        <is>
          <t>[Balanço em decantadores] Ll</t>
        </is>
      </c>
      <c r="L42" s="61">
        <f>IFERROR($L$40-$L$41,"")</f>
        <v>75.3</v>
      </c>
    </row>
    <row r="43" ht="24" customHeight="1">
      <c r="B43" s="99" t="inlineStr">
        <is>
          <t>E · ENTENDA O CÁLCULO</t>
        </is>
      </c>
      <c r="C43" s="99" t="n"/>
      <c r="D43" s="99" t="n"/>
      <c r="E43" s="99" t="n"/>
      <c r="F43" s="99" t="n"/>
      <c r="G43" s="99" t="n"/>
      <c r="H43" s="99" t="n"/>
      <c r="K43" s="61" t="inlineStr">
        <is>
          <t>[Balanço em decantadores] QaQl</t>
        </is>
      </c>
      <c r="L43" s="61">
        <f>IFERROR($G$83+$G$85,"")</f>
        <v>500</v>
      </c>
    </row>
    <row r="44" ht="26" customHeight="1">
      <c r="B44" s="64" t="inlineStr">
        <is>
          <t>Fórmula</t>
        </is>
      </c>
      <c r="C44" s="100" t="inlineStr">
        <is>
          <t>Cfinal = (Q₁ × C₁ + Q₂ × C₂) ÷ (Q₁ + Q₂)</t>
        </is>
      </c>
      <c r="D44" s="100" t="n"/>
      <c r="E44" s="100" t="n"/>
      <c r="F44" s="100" t="n"/>
      <c r="G44" s="100" t="n"/>
      <c r="H44" s="100" t="n"/>
      <c r="K44" s="61" t="inlineStr">
        <is>
          <t>[Balanço em decantadores] dQ</t>
        </is>
      </c>
      <c r="L44" s="61">
        <f>IFERROR($G$81-$L$43,"")</f>
        <v>0</v>
      </c>
    </row>
    <row r="45" ht="32" customHeight="1">
      <c r="B45" s="64" t="inlineStr">
        <is>
          <t>O que é cada variável</t>
        </is>
      </c>
      <c r="C45" s="25" t="inlineStr">
        <is>
          <t>Q₁, Q₂ = vazões das correntes   |   C₁, C₂ = concentrações   |   Cfinal = concentração da mistura.   Hipóteses: mistura completa, sem perdas e sem reação.</t>
        </is>
      </c>
      <c r="D45" s="25" t="n"/>
      <c r="E45" s="25" t="n"/>
      <c r="F45" s="25" t="n"/>
      <c r="G45" s="25" t="n"/>
      <c r="H45" s="25" t="n"/>
      <c r="K45" s="61" t="inlineStr">
        <is>
          <t>[Balanço em decantadores] fecha</t>
        </is>
      </c>
      <c r="L45" s="61" t="b">
        <f>IFERROR(ABS($L$44)&lt;=0.005*$G$81,"")</f>
        <v>1</v>
      </c>
    </row>
    <row r="46" ht="21" customHeight="1">
      <c r="B46" s="64" t="inlineStr">
        <is>
          <t>Valores inseridos</t>
        </is>
      </c>
      <c r="C46" s="25" t="str">
        <f>"Q₁ = "&amp;$L$28&amp;" "&amp;"m³/dia"&amp;"   |   "&amp;"C₁ = "&amp;$L$24&amp;" "&amp;"mg/L"&amp;"   |   "&amp;"Q₂ = "&amp;$L$30&amp;" "&amp;"m³/dia"&amp;"   |   "&amp;"C₂ = "&amp;$L$26&amp;" "&amp;"mg/L"</f>
        <v>Q₁ = 120 m³/dia   |   C₁ = 200 mg/L   |   Q₂ = 80 m³/dia   |   C₂ = 50 mg/L</v>
      </c>
      <c r="D46" s="25" t="n"/>
      <c r="E46" s="25" t="n"/>
      <c r="F46" s="25" t="n"/>
      <c r="G46" s="25" t="n"/>
      <c r="H46" s="25" t="n"/>
      <c r="K46" s="61" t="inlineStr">
        <is>
          <t>[Balanço em decantadores] fecha_txt</t>
        </is>
      </c>
      <c r="L46" s="61" t="str">
        <f>IFERROR(IF($L$45,"✔ Fecha","⚠ Não fecha"),"")</f>
        <v>✔ Fecha</v>
      </c>
    </row>
    <row r="47" ht="21" customHeight="1">
      <c r="B47" s="64" t="inlineStr">
        <is>
          <t>Substituição</t>
        </is>
      </c>
      <c r="C47" s="25" t="str">
        <f>IF($L$14,"Cfinal = ("&amp;$L$28&amp;" × "&amp;$L$24&amp;" + "&amp;$L$30&amp;" × "&amp;$L$26&amp;") ÷ ("&amp;$L$28&amp;" + "&amp;$L$30&amp;") = "&amp;$L$32&amp;" ÷ "&amp;$L$34&amp;" = "&amp;$L$16&amp;" mg/L","Aguardando dados válidos para montar a conta.")</f>
        <v>Cfinal = (120 × 200 + 80 × 50) ÷ (120 + 80) = 28.000 ÷ 200 = 140 mg/L</v>
      </c>
      <c r="D47" s="25" t="n"/>
      <c r="E47" s="25" t="n"/>
      <c r="F47" s="25" t="n"/>
      <c r="G47" s="25" t="n"/>
      <c r="H47" s="25" t="n"/>
      <c r="K47" s="61" t="inlineStr">
        <is>
          <t>[Balanço em decantadores] razao</t>
        </is>
      </c>
      <c r="L47" s="61">
        <f>IFERROR(ROUND($L$39/$G$82,1),"")</f>
        <v>41.8</v>
      </c>
    </row>
    <row r="48" ht="21" customHeight="1">
      <c r="B48" s="64" t="inlineStr">
        <is>
          <t>Resultado</t>
        </is>
      </c>
      <c r="C48" s="25" t="str">
        <f>IF($L$14,"Vazão total = "&amp;$L$34&amp;" m³/dia   |   Cfinal = "&amp;$L$16&amp;" mg/L   |   Carga total = "&amp;$L$22&amp;" kg/dia","Aguardando dados válidos para montar a conta.")</f>
        <v>Vazão total = 200 m³/dia   |   Cfinal = 140 mg/L   |   Carga total = 28 kg/dia</v>
      </c>
      <c r="D48" s="25" t="n"/>
      <c r="E48" s="25" t="n"/>
      <c r="F48" s="25" t="n"/>
      <c r="G48" s="25" t="n"/>
      <c r="H48" s="25" t="n"/>
      <c r="K48" s="61" t="inlineStr">
        <is>
          <t>[Balanço em decantadores] mensagem de validação</t>
        </is>
      </c>
      <c r="L48" s="61" t="str">
        <f>IFERROR(IF($L$36=0,"Escolha um cenário na lista: Exemplo 01, Exemplo 02 ou Meu cálculo.",IF($G$81="","Informe a vazão de entrada (Qe) para continuar.",IF(NOT(ISNUMBER($G$81)),"A vazão de entrada (Qe) precisa ser um número. Confira o valor digitado.",IF($G$81&lt;=0,"A vazão de entrada (Qe) deve ser maior que zero.",IF($G$82="","Informe a concentração de entrada (Ce) para continuar (digite 0 se for o caso).",IF(NOT(ISNUMBER($G$82)),"A concentração de entrada (Ce) precisa ser um número. Confira o valor digitado.",IF($G$82&lt;0,"A concentração de entrada (Ce) não pode ser negativa.",IF($G$83="","Informe a vazão do clarificado (Qa) para continuar (digite 0 se for o caso).",IF(NOT(ISNUMBER($G$83)),"A vazão do clarificado (Qa) precisa ser um número. Confira o valor digitado.",IF($G$83&lt;0,"A vazão do clarificado (Qa) não pode ser negativa.",IF($G$84="","Informe a concentração do clarificado (Ca) para continuar (digite 0 se for o caso).",IF(NOT(ISNUMBER($G$84)),"A concentração do clarificado (Ca) precisa ser um número. Confira o valor digitado.",IF($G$84&lt;0,"A concentração do clarificado (Ca) não pode ser negativa.",IF($G$85="","Informe a vazão de lodo (Ql) para continuar.",IF(NOT(ISNUMBER($G$85)),"A vazão de lodo (Ql) precisa ser um número. Confira o valor digitado.",IF($G$85&lt;=0,"A vazão de lodo (Ql) deve ser maior que zero.","")))))))))))))))),"Resultado indisponível: existem dados inválidos.")</f>
        <v/>
      </c>
    </row>
    <row r="49" ht="10" customHeight="1">
      <c r="K49" s="61" t="inlineStr">
        <is>
          <t>[Balanço em decantadores] dados válidos?</t>
        </is>
      </c>
      <c r="L49" s="61" t="b">
        <f>$L$48=""</f>
        <v>1</v>
      </c>
    </row>
    <row r="50" ht="24" customHeight="1">
      <c r="B50" s="99" t="inlineStr">
        <is>
          <t>G · COMPARAÇÃO VISUAL</t>
        </is>
      </c>
      <c r="C50" s="99" t="n"/>
      <c r="D50" s="99" t="n"/>
      <c r="E50" s="99" t="n"/>
      <c r="F50" s="99" t="n"/>
      <c r="G50" s="99" t="n"/>
      <c r="H50" s="99" t="n"/>
      <c r="K50" s="61" t="inlineStr">
        <is>
          <t>[Balanço em decantadores] Cl (arredondado)</t>
        </is>
      </c>
      <c r="L50" s="61">
        <f>IFERROR(ROUND($L$39,IF($L$39=0,0,4-INT(LOG10(ABS($L$39))))),"")</f>
        <v>7530</v>
      </c>
    </row>
    <row r="51" ht="15" customHeight="1">
      <c r="E51" s="110" t="inlineStr">
        <is>
          <t>Dados do gráfico (atualizam sozinhos)</t>
        </is>
      </c>
      <c r="F51" s="110" t="n"/>
      <c r="G51" s="110" t="n"/>
      <c r="H51" s="110" t="n"/>
      <c r="K51" s="61" t="inlineStr">
        <is>
          <t>[Balanço em decantadores] Cl (texto)</t>
        </is>
      </c>
      <c r="L51" s="61" t="str">
        <f>IF(ISNUMBER($L$50),FIXED($L$50,IF(ROUND($L$50,0)=$L$50,0,IF(ROUND($L$50,1)=$L$50,1,IF(ROUND($L$50,2)=$L$50,2,IF(ROUND($L$50,3)=$L$50,3,IF(ROUND($L$50,4)=$L$50,4,IF(ROUND($L$50,5)=$L$50,5,IF(ROUND($L$50,6)=$L$50,6,7)))))))),"?")</f>
        <v>7.530</v>
      </c>
    </row>
    <row r="52" ht="15" customHeight="1">
      <c r="E52" s="65" t="inlineStr">
        <is>
          <t>Corrente 1</t>
        </is>
      </c>
      <c r="F52" s="65" t="n"/>
      <c r="G52" s="111">
        <f>IF($L$14,$G$30,"")</f>
        <v>200</v>
      </c>
      <c r="H52" s="112" t="inlineStr">
        <is>
          <t>mg/L</t>
        </is>
      </c>
      <c r="K52" s="61" t="inlineStr">
        <is>
          <t>[Balanço em decantadores] QaQl (arredondado)</t>
        </is>
      </c>
      <c r="L52" s="61">
        <f>IFERROR(ROUND($L$43,IF($L$43=0,0,4-INT(LOG10(ABS($L$43))))),"")</f>
        <v>500</v>
      </c>
    </row>
    <row r="53" ht="15" customHeight="1">
      <c r="E53" s="65" t="inlineStr">
        <is>
          <t>Corrente 2</t>
        </is>
      </c>
      <c r="F53" s="65" t="n"/>
      <c r="G53" s="111">
        <f>IF($L$14,$G$32,"")</f>
        <v>50</v>
      </c>
      <c r="H53" s="112" t="inlineStr">
        <is>
          <t>mg/L</t>
        </is>
      </c>
      <c r="K53" s="61" t="inlineStr">
        <is>
          <t>[Balanço em decantadores] QaQl (texto)</t>
        </is>
      </c>
      <c r="L53" s="61" t="str">
        <f>IF(ISNUMBER($L$52),FIXED($L$52,IF(ROUND($L$52,0)=$L$52,0,IF(ROUND($L$52,1)=$L$52,1,IF(ROUND($L$52,2)=$L$52,2,IF(ROUND($L$52,3)=$L$52,3,IF(ROUND($L$52,4)=$L$52,4,IF(ROUND($L$52,5)=$L$52,5,IF(ROUND($L$52,6)=$L$52,6,7)))))))),"?")</f>
        <v>500</v>
      </c>
    </row>
    <row r="54" ht="15" customHeight="1">
      <c r="E54" s="65" t="inlineStr">
        <is>
          <t>Mistura</t>
        </is>
      </c>
      <c r="F54" s="65" t="n"/>
      <c r="G54" s="111">
        <f>IF($L$14,$L$7,"")</f>
        <v>140</v>
      </c>
      <c r="H54" s="112" t="inlineStr">
        <is>
          <t>mg/L</t>
        </is>
      </c>
      <c r="K54" s="61" t="inlineStr">
        <is>
          <t>[Balanço em decantadores] Qe (arredondado)</t>
        </is>
      </c>
      <c r="L54" s="61">
        <f>IFERROR(ROUND($G$81,IF($G$81=0,0,4-INT(LOG10(ABS($G$81))))),"")</f>
        <v>500</v>
      </c>
    </row>
    <row r="55" ht="15" customHeight="1">
      <c r="K55" s="61" t="inlineStr">
        <is>
          <t>[Balanço em decantadores] Qe (texto)</t>
        </is>
      </c>
      <c r="L55" s="61" t="str">
        <f>IF(ISNUMBER($L$54),FIXED($L$54,IF(ROUND($L$54,0)=$L$54,0,IF(ROUND($L$54,1)=$L$54,1,IF(ROUND($L$54,2)=$L$54,2,IF(ROUND($L$54,3)=$L$54,3,IF(ROUND($L$54,4)=$L$54,4,IF(ROUND($L$54,5)=$L$54,5,IF(ROUND($L$54,6)=$L$54,6,7)))))))),"?")</f>
        <v>500</v>
      </c>
    </row>
    <row r="56" ht="15" customHeight="1">
      <c r="E56" s="113" t="inlineStr">
        <is>
          <t>O gráfico usa os mesmos resultados do card verde. Mude um dado e veja as barras mudarem.</t>
        </is>
      </c>
      <c r="F56" s="113" t="n"/>
      <c r="G56" s="113" t="n"/>
      <c r="H56" s="113" t="n"/>
      <c r="K56" s="61" t="inlineStr">
        <is>
          <t>[Balanço em decantadores] dQ (arredondado)</t>
        </is>
      </c>
      <c r="L56" s="61">
        <f>IFERROR(ROUND($L$44,IF($L$44=0,0,4-INT(LOG10(ABS($L$44))))),"")</f>
        <v>0</v>
      </c>
    </row>
    <row r="57" ht="15" customHeight="1">
      <c r="E57" s="113" t="n"/>
      <c r="F57" s="113" t="n"/>
      <c r="G57" s="113" t="n"/>
      <c r="H57" s="113" t="n"/>
      <c r="K57" s="61" t="inlineStr">
        <is>
          <t>[Balanço em decantadores] dQ (texto)</t>
        </is>
      </c>
      <c r="L57" s="61" t="str">
        <f>IF(ISNUMBER($L$56),FIXED($L$56,IF(ROUND($L$56,0)=$L$56,0,IF(ROUND($L$56,1)=$L$56,1,IF(ROUND($L$56,2)=$L$56,2,IF(ROUND($L$56,3)=$L$56,3,IF(ROUND($L$56,4)=$L$56,4,IF(ROUND($L$56,5)=$L$56,5,IF(ROUND($L$56,6)=$L$56,6,7)))))))),"?")</f>
        <v>0</v>
      </c>
    </row>
    <row r="58" ht="15" customHeight="1">
      <c r="E58" s="113" t="n"/>
      <c r="F58" s="113" t="n"/>
      <c r="G58" s="113" t="n"/>
      <c r="H58" s="113" t="n"/>
      <c r="K58" s="61" t="inlineStr">
        <is>
          <t>[Balanço em decantadores] razao (arredondado)</t>
        </is>
      </c>
      <c r="L58" s="61">
        <f>IFERROR(ROUND($L$47,IF($L$47=0,0,4-INT(LOG10(ABS($L$47))))),"")</f>
        <v>41.8</v>
      </c>
    </row>
    <row r="59" ht="15" customHeight="1">
      <c r="K59" s="61" t="inlineStr">
        <is>
          <t>[Balanço em decantadores] razao (texto)</t>
        </is>
      </c>
      <c r="L59" s="61" t="str">
        <f>IF(ISNUMBER($L$58),FIXED($L$58,IF(ROUND($L$58,0)=$L$58,0,IF(ROUND($L$58,1)=$L$58,1,IF(ROUND($L$58,2)=$L$58,2,IF(ROUND($L$58,3)=$L$58,3,IF(ROUND($L$58,4)=$L$58,4,IF(ROUND($L$58,5)=$L$58,5,IF(ROUND($L$58,6)=$L$58,6,7)))))))),"?")</f>
        <v>41,8</v>
      </c>
    </row>
    <row r="60" ht="15" customHeight="1">
      <c r="K60" s="61" t="inlineStr">
        <is>
          <t>[Balanço em decantadores] Ca (arredondado)</t>
        </is>
      </c>
      <c r="L60" s="61">
        <f>IFERROR(ROUND($G$84,IF($G$84=0,0,4-INT(LOG10(ABS($G$84))))),"")</f>
        <v>30</v>
      </c>
    </row>
    <row r="61" ht="15" customHeight="1">
      <c r="K61" s="61" t="inlineStr">
        <is>
          <t>[Balanço em decantadores] Ca (texto)</t>
        </is>
      </c>
      <c r="L61" s="61" t="str">
        <f>IF(ISNUMBER($L$60),FIXED($L$60,IF(ROUND($L$60,0)=$L$60,0,IF(ROUND($L$60,1)=$L$60,1,IF(ROUND($L$60,2)=$L$60,2,IF(ROUND($L$60,3)=$L$60,3,IF(ROUND($L$60,4)=$L$60,4,IF(ROUND($L$60,5)=$L$60,5,IF(ROUND($L$60,6)=$L$60,6,7)))))))),"?")</f>
        <v>30</v>
      </c>
    </row>
    <row r="62" ht="15" customHeight="1">
      <c r="K62" s="61" t="inlineStr">
        <is>
          <t>[Balanço em decantadores] Ce (arredondado)</t>
        </is>
      </c>
      <c r="L62" s="61">
        <f>IFERROR(ROUND($G$82,IF($G$82=0,0,4-INT(LOG10(ABS($G$82))))),"")</f>
        <v>180</v>
      </c>
    </row>
    <row r="63" ht="15" customHeight="1">
      <c r="K63" s="61" t="inlineStr">
        <is>
          <t>[Balanço em decantadores] Ce (texto)</t>
        </is>
      </c>
      <c r="L63" s="61" t="str">
        <f>IF(ISNUMBER($L$62),FIXED($L$62,IF(ROUND($L$62,0)=$L$62,0,IF(ROUND($L$62,1)=$L$62,1,IF(ROUND($L$62,2)=$L$62,2,IF(ROUND($L$62,3)=$L$62,3,IF(ROUND($L$62,4)=$L$62,4,IF(ROUND($L$62,5)=$L$62,5,IF(ROUND($L$62,6)=$L$62,6,7)))))))),"?")</f>
        <v>180</v>
      </c>
    </row>
    <row r="64" ht="15" customHeight="1">
      <c r="K64" s="61" t="inlineStr">
        <is>
          <t>[Balanço em decantadores] Qa (arredondado)</t>
        </is>
      </c>
      <c r="L64" s="61">
        <f>IFERROR(ROUND($G$83,IF($G$83=0,0,4-INT(LOG10(ABS($G$83))))),"")</f>
        <v>490</v>
      </c>
    </row>
    <row r="65" ht="10" customHeight="1">
      <c r="K65" s="61" t="inlineStr">
        <is>
          <t>[Balanço em decantadores] Qa (texto)</t>
        </is>
      </c>
      <c r="L65" s="61" t="str">
        <f>IF(ISNUMBER($L$64),FIXED($L$64,IF(ROUND($L$64,0)=$L$64,0,IF(ROUND($L$64,1)=$L$64,1,IF(ROUND($L$64,2)=$L$64,2,IF(ROUND($L$64,3)=$L$64,3,IF(ROUND($L$64,4)=$L$64,4,IF(ROUND($L$64,5)=$L$64,5,IF(ROUND($L$64,6)=$L$64,6,7)))))))),"?")</f>
        <v>490</v>
      </c>
    </row>
    <row r="66" ht="24" customHeight="1">
      <c r="B66" s="99" t="inlineStr">
        <is>
          <t>F · EXEMPLO E ORIENTAÇÃO</t>
        </is>
      </c>
      <c r="C66" s="99" t="n"/>
      <c r="D66" s="99" t="n"/>
      <c r="E66" s="99" t="n"/>
      <c r="F66" s="99" t="n"/>
      <c r="G66" s="99" t="n"/>
      <c r="H66" s="99" t="n"/>
      <c r="K66" s="61" t="inlineStr">
        <is>
          <t>[Balanço em decantadores] Ql (arredondado)</t>
        </is>
      </c>
      <c r="L66" s="61">
        <f>IFERROR(ROUND($G$85,IF($G$85=0,0,4-INT(LOG10(ABS($G$85))))),"")</f>
        <v>10</v>
      </c>
    </row>
    <row r="67" ht="71" customHeight="1">
      <c r="B67" s="64" t="inlineStr">
        <is>
          <t>Exemplos desta ferramenta</t>
        </is>
      </c>
      <c r="C67" s="25" t="inlineStr">
        <is>
          <t>Exemplo 01: Duas linhas de efluente se juntam antes do tratamento: 120 m³/dia com 200 mg/L de DBO e 80 m³/dia com 50 mg/L.
Exemplo 02: Um efluente tratado (432 m³/dia, DBO de 60 mg/L) é lançado em um rio com vazão de 8.640 m³/dia e DBO de 2 mg/L. Qual é a DBO logo após a mistura?
Escolha o exemplo na lista Cenário para ver a resolução completa.</t>
        </is>
      </c>
      <c r="D67" s="25" t="n"/>
      <c r="E67" s="25" t="n"/>
      <c r="F67" s="25" t="n"/>
      <c r="G67" s="25" t="n"/>
      <c r="H67" s="25" t="n"/>
      <c r="K67" s="61" t="inlineStr">
        <is>
          <t>[Balanço em decantadores] Ql (texto)</t>
        </is>
      </c>
      <c r="L67" s="61" t="str">
        <f>IF(ISNUMBER($L$66),FIXED($L$66,IF(ROUND($L$66,0)=$L$66,0,IF(ROUND($L$66,1)=$L$66,1,IF(ROUND($L$66,2)=$L$66,2,IF(ROUND($L$66,3)=$L$66,3,IF(ROUND($L$66,4)=$L$66,4,IF(ROUND($L$66,5)=$L$66,5,IF(ROUND($L$66,6)=$L$66,6,7)))))))),"?")</f>
        <v>10</v>
      </c>
    </row>
    <row r="68" ht="19" customHeight="1">
      <c r="B68" s="64" t="inlineStr">
        <is>
          <t>Como interpretar</t>
        </is>
      </c>
      <c r="C68" s="25" t="inlineStr">
        <is>
          <t>A concentração final é uma média ponderada: a corrente com mais vazão puxa o resultado para perto dela.</t>
        </is>
      </c>
      <c r="D68" s="25" t="n"/>
      <c r="E68" s="25" t="n"/>
      <c r="F68" s="25" t="n"/>
      <c r="G68" s="25" t="n"/>
      <c r="H68" s="25" t="n"/>
      <c r="K68" s="61" t="inlineStr">
        <is>
          <t>[Balanço em decantadores] QaCa (arredondado)</t>
        </is>
      </c>
      <c r="L68" s="61">
        <f>IFERROR(ROUND($L$38,IF($L$38=0,0,4-INT(LOG10(ABS($L$38))))),"")</f>
        <v>14700</v>
      </c>
    </row>
    <row r="69" ht="32" customHeight="1">
      <c r="B69" s="101" t="inlineStr">
        <is>
          <t>⚠ Erro comum</t>
        </is>
      </c>
      <c r="C69" s="102" t="inlineStr">
        <is>
          <t>Fazer a média simples das concentrações ((200 + 50) ÷ 2 = 125 mg/L). A média precisa ser ponderada pelas vazões.</t>
        </is>
      </c>
      <c r="D69" s="102" t="n"/>
      <c r="E69" s="102" t="n"/>
      <c r="F69" s="102" t="n"/>
      <c r="G69" s="102" t="n"/>
      <c r="H69" s="102" t="n"/>
      <c r="K69" s="61" t="inlineStr">
        <is>
          <t>[Balanço em decantadores] QaCa (texto)</t>
        </is>
      </c>
      <c r="L69" s="61" t="str">
        <f>IF(ISNUMBER($L$68),FIXED($L$68,IF(ROUND($L$68,0)=$L$68,0,IF(ROUND($L$68,1)=$L$68,1,IF(ROUND($L$68,2)=$L$68,2,IF(ROUND($L$68,3)=$L$68,3,IF(ROUND($L$68,4)=$L$68,4,IF(ROUND($L$68,5)=$L$68,5,IF(ROUND($L$68,6)=$L$68,6,7)))))))),"?")</f>
        <v>14.700</v>
      </c>
    </row>
    <row r="70" ht="32" customHeight="1">
      <c r="B70" s="103" t="inlineStr">
        <is>
          <t>💡 Dica prática</t>
        </is>
      </c>
      <c r="C70" s="104" t="inlineStr">
        <is>
          <t>A concentração final funciona com qualquer unidade de vazão, desde que as duas correntes usem a mesma. As cargas em kg/dia assumem m³/dia e mg/L.</t>
        </is>
      </c>
      <c r="D70" s="104" t="n"/>
      <c r="E70" s="104" t="n"/>
      <c r="F70" s="104" t="n"/>
      <c r="G70" s="104" t="n"/>
      <c r="H70" s="104" t="n"/>
      <c r="K70" s="61" t="inlineStr">
        <is>
          <t>[Balanço em decantadores] QeCe (arredondado)</t>
        </is>
      </c>
      <c r="L70" s="61">
        <f>IFERROR(ROUND($L$37,IF($L$37=0,0,4-INT(LOG10(ABS($L$37))))),"")</f>
        <v>90000</v>
      </c>
    </row>
    <row r="71" ht="14" customHeight="1">
      <c r="K71" s="61" t="inlineStr">
        <is>
          <t>[Balanço em decantadores] QeCe (texto)</t>
        </is>
      </c>
      <c r="L71" s="61" t="str">
        <f>IF(ISNUMBER($L$70),FIXED($L$70,IF(ROUND($L$70,0)=$L$70,0,IF(ROUND($L$70,1)=$L$70,1,IF(ROUND($L$70,2)=$L$70,2,IF(ROUND($L$70,3)=$L$70,3,IF(ROUND($L$70,4)=$L$70,4,IF(ROUND($L$70,5)=$L$70,5,IF(ROUND($L$70,6)=$L$70,6,7)))))))),"?")</f>
        <v>90.000</v>
      </c>
    </row>
    <row r="72" ht="14" customHeight="1">
      <c r="K72" s="61" t="inlineStr">
        <is>
          <t>[Balanço em decantadores] Ll (arredondado)</t>
        </is>
      </c>
      <c r="L72" s="61">
        <f>IFERROR(ROUND($L$42,IF($L$42=0,0,4-INT(LOG10(ABS($L$42))))),"")</f>
        <v>75.3</v>
      </c>
    </row>
    <row r="73" ht="30" customHeight="1">
      <c r="B73" s="72" t="inlineStr">
        <is>
          <t>FERRAMENTA 2  ·  BALANÇO DE MASSA EM DECANTADORES</t>
        </is>
      </c>
      <c r="C73" s="72" t="n"/>
      <c r="D73" s="72" t="n"/>
      <c r="E73" s="72" t="n"/>
      <c r="F73" s="72" t="n"/>
      <c r="G73" s="72" t="n"/>
      <c r="H73" s="73" t="inlineStr">
        <is>
          <t>▲ Voltar ao topo</t>
        </is>
      </c>
      <c r="K73" s="61" t="inlineStr">
        <is>
          <t>[Balanço em decantadores] Ll (texto)</t>
        </is>
      </c>
      <c r="L73" s="61" t="str">
        <f>IF(ISNUMBER($L$72),FIXED($L$72,IF(ROUND($L$72,0)=$L$72,0,IF(ROUND($L$72,1)=$L$72,1,IF(ROUND($L$72,2)=$L$72,2,IF(ROUND($L$72,3)=$L$72,3,IF(ROUND($L$72,4)=$L$72,4,IF(ROUND($L$72,5)=$L$72,5,IF(ROUND($L$72,6)=$L$72,6,7)))))))),"?")</f>
        <v>75,3</v>
      </c>
    </row>
    <row r="74" ht="32" customHeight="1">
      <c r="B74" s="74" t="inlineStr">
        <is>
          <t>Calcula a concentração de sólidos no lodo a partir da entrada e do clarificado e confere se o balanço hidráulico fecha (Qe = Qa + Ql).</t>
        </is>
      </c>
      <c r="C74" s="74" t="n"/>
      <c r="D74" s="74" t="n"/>
      <c r="E74" s="74" t="n"/>
      <c r="F74" s="74" t="n"/>
      <c r="G74" s="74" t="n"/>
      <c r="H74" s="74" t="n"/>
      <c r="K74" s="61" t="inlineStr">
        <is>
          <t>[Balanço em decantadores] resumo</t>
        </is>
      </c>
      <c r="L74" s="61" t="str">
        <f>IF($L$49,$L$51&amp;" "&amp;"mg/L","—")</f>
        <v>7.530 mg/L</v>
      </c>
    </row>
    <row r="75" ht="6" customHeight="1">
      <c r="K75" s="61" t="inlineStr">
        <is>
          <t>índice do cenário (1, 2 ou 3)</t>
        </is>
      </c>
      <c r="L75" s="61">
        <f>IFERROR(MATCH($C$130,{"Exemplo 01","Exemplo 02","Meu cálculo"},0),0)</f>
        <v>1</v>
      </c>
    </row>
    <row r="76" ht="20" customHeight="1">
      <c r="B76" s="75" t="inlineStr">
        <is>
          <t>B · ESCOLHA DO CENÁRIO</t>
        </is>
      </c>
      <c r="C76" s="75" t="n"/>
      <c r="D76" s="75" t="n"/>
      <c r="E76" s="75" t="n"/>
      <c r="F76" s="75" t="n"/>
      <c r="G76" s="75" t="n"/>
      <c r="H76" s="75" t="n"/>
      <c r="K76" s="61" t="inlineStr">
        <is>
          <t>[Acúmulo de massa] A</t>
        </is>
      </c>
      <c r="L76" s="61">
        <f>IFERROR($G$135-$G$136+$G$137-$G$138,"")</f>
        <v>80</v>
      </c>
    </row>
    <row r="77" ht="30" customHeight="1">
      <c r="B77" s="47" t="inlineStr">
        <is>
          <t>Cenário  ▼</t>
        </is>
      </c>
      <c r="C77" s="76" t="inlineStr">
        <is>
          <t>Exemplo 01</t>
        </is>
      </c>
      <c r="D77" s="77" t="n"/>
      <c r="E77" s="68" t="inlineStr">
        <is>
          <t>Exemplo 01 e Exemplo 02 usam dados prontos. Meu cálculo usa os valores que você digitar na coluna amarela.</t>
        </is>
      </c>
      <c r="F77" s="68" t="n"/>
      <c r="G77" s="68" t="n"/>
      <c r="H77" s="68" t="n"/>
      <c r="K77" s="61" t="inlineStr">
        <is>
          <t>[Acúmulo de massa] negA</t>
        </is>
      </c>
      <c r="L77" s="61">
        <f>IFERROR(-$L$76,"")</f>
        <v>-80</v>
      </c>
    </row>
    <row r="78" ht="6" customHeight="1">
      <c r="K78" s="61" t="inlineStr">
        <is>
          <t>[Acúmulo de massa] tin</t>
        </is>
      </c>
      <c r="L78" s="61">
        <f>IFERROR($G$135+$G$137,"")</f>
        <v>100</v>
      </c>
    </row>
    <row r="79" ht="20" customHeight="1">
      <c r="B79" s="75" t="inlineStr">
        <is>
          <t>C · DADOS DE ENTRADA</t>
        </is>
      </c>
      <c r="C79" s="75" t="n"/>
      <c r="D79" s="75" t="n"/>
      <c r="E79" s="75" t="n"/>
      <c r="F79" s="75" t="n"/>
      <c r="G79" s="75" t="n"/>
      <c r="H79" s="75" t="n"/>
      <c r="K79" s="61" t="inlineStr">
        <is>
          <t>[Acúmulo de massa] tout</t>
        </is>
      </c>
      <c r="L79" s="61">
        <f>IFERROR($G$136+$G$138,"")</f>
        <v>20</v>
      </c>
    </row>
    <row r="80" ht="22" customHeight="1">
      <c r="B80" s="78" t="inlineStr">
        <is>
          <t>Variável</t>
        </is>
      </c>
      <c r="C80" s="78" t="inlineStr">
        <is>
          <t>Exemplo 01</t>
        </is>
      </c>
      <c r="D80" s="78" t="inlineStr">
        <is>
          <t>Exemplo 02</t>
        </is>
      </c>
      <c r="E80" s="79" t="inlineStr">
        <is>
          <t>MEU CÁLCULO</t>
        </is>
      </c>
      <c r="F80" s="78" t="inlineStr">
        <is>
          <t>Unidade</t>
        </is>
      </c>
      <c r="G80" s="80" t="inlineStr">
        <is>
          <t>Valor em uso</t>
        </is>
      </c>
      <c r="H80" s="78" t="inlineStr">
        <is>
          <t>Orientação de preenchimento</t>
        </is>
      </c>
      <c r="K80" s="61" t="inlineStr">
        <is>
          <t>[Acúmulo de massa] mensagem de validação</t>
        </is>
      </c>
      <c r="L80" s="61" t="str">
        <f>IFERROR(IF($L$75=0,"Escolha um cenário na lista: Exemplo 01, Exemplo 02 ou Meu cálculo.",IF($G$134="","Escolha a unidade dos termos.",IF($G$135="","Informe a entrada para continuar (digite 0 se for o caso).",IF(NOT(ISNUMBER($G$135)),"A entrada precisa ser um número. Confira o valor digitado.",IF($G$135&lt;0,"A entrada não pode ser negativa.",IF($G$136="","Informe a saída para continuar (digite 0 se for o caso).",IF(NOT(ISNUMBER($G$136)),"A saída precisa ser um número. Confira o valor digitado.",IF($G$136&lt;0,"A saída não pode ser negativa.",IF($G$137="","Informe a geração interna para continuar (digite 0 se for o caso).",IF(NOT(ISNUMBER($G$137)),"A geração interna precisa ser um número. Confira o valor digitado.",IF($G$137&lt;0,"A geração interna não pode ser negativa.",IF($G$138="","Informe o consumo para continuar (digite 0 se for o caso).",IF(NOT(ISNUMBER($G$138)),"O consumo precisa ser um número. Confira o valor digitado.",IF($G$138&lt;0,"O consumo não pode ser negativo.","")))))))))))))),"Resultado indisponível: existem dados inválidos.")</f>
        <v/>
      </c>
    </row>
    <row r="81" ht="22" customHeight="1">
      <c r="B81" s="47" t="inlineStr">
        <is>
          <t>Vazão de entrada (Qe)</t>
        </is>
      </c>
      <c r="C81" s="81" t="n">
        <v>500</v>
      </c>
      <c r="D81" s="81" t="n">
        <v>1000</v>
      </c>
      <c r="E81" s="82" t="n"/>
      <c r="F81" s="83" t="inlineStr">
        <is>
          <t>m³/dia</t>
        </is>
      </c>
      <c r="G81" s="84">
        <f>IF($L$36=1,C81,IF($L$36=2,D81,IF($L$36=3,IF(E81="","",E81),"")))</f>
        <v>500</v>
      </c>
      <c r="H81" s="85" t="inlineStr">
        <is>
          <t>Vazão que entra no decantador. Ex.: 500</t>
        </is>
      </c>
      <c r="K81" s="61" t="inlineStr">
        <is>
          <t>[Acúmulo de massa] dados válidos?</t>
        </is>
      </c>
      <c r="L81" s="61" t="b">
        <f>$L$80=""</f>
        <v>1</v>
      </c>
    </row>
    <row r="82" ht="22" customHeight="1">
      <c r="B82" s="47" t="inlineStr">
        <is>
          <t>Concentração de entrada (Ce)</t>
        </is>
      </c>
      <c r="C82" s="81" t="n">
        <v>180</v>
      </c>
      <c r="D82" s="81" t="n">
        <v>220</v>
      </c>
      <c r="E82" s="82" t="n"/>
      <c r="F82" s="83" t="inlineStr">
        <is>
          <t>mg/L</t>
        </is>
      </c>
      <c r="G82" s="84">
        <f>IF($L$36=1,C82,IF($L$36=2,D82,IF($L$36=3,IF(E82="","",E82),"")))</f>
        <v>180</v>
      </c>
      <c r="H82" s="85" t="inlineStr">
        <is>
          <t>Sólidos na entrada. Ex.: 180</t>
        </is>
      </c>
      <c r="K82" s="61" t="inlineStr">
        <is>
          <t>[Acúmulo de massa] A (arredondado)</t>
        </is>
      </c>
      <c r="L82" s="61">
        <f>IFERROR(ROUND($L$76,IF($L$76=0,0,4-INT(LOG10(ABS($L$76))))),"")</f>
        <v>80</v>
      </c>
    </row>
    <row r="83" ht="22" customHeight="1">
      <c r="B83" s="47" t="inlineStr">
        <is>
          <t>Vazão do clarificado (Qa)</t>
        </is>
      </c>
      <c r="C83" s="81" t="n">
        <v>490</v>
      </c>
      <c r="D83" s="81" t="n">
        <v>985</v>
      </c>
      <c r="E83" s="82" t="n"/>
      <c r="F83" s="83" t="inlineStr">
        <is>
          <t>m³/dia</t>
        </is>
      </c>
      <c r="G83" s="84">
        <f>IF($L$36=1,C83,IF($L$36=2,D83,IF($L$36=3,IF(E83="","",E83),"")))</f>
        <v>490</v>
      </c>
      <c r="H83" s="85" t="inlineStr">
        <is>
          <t>Vazão que sai por cima. Ex.: 490</t>
        </is>
      </c>
      <c r="K83" s="61" t="inlineStr">
        <is>
          <t>[Acúmulo de massa] A (texto)</t>
        </is>
      </c>
      <c r="L83" s="61" t="str">
        <f>IF(ISNUMBER($L$82),FIXED($L$82,IF(ROUND($L$82,0)=$L$82,0,IF(ROUND($L$82,1)=$L$82,1,IF(ROUND($L$82,2)=$L$82,2,IF(ROUND($L$82,3)=$L$82,3,IF(ROUND($L$82,4)=$L$82,4,IF(ROUND($L$82,5)=$L$82,5,IF(ROUND($L$82,6)=$L$82,6,7)))))))),"?")</f>
        <v>80</v>
      </c>
    </row>
    <row r="84" ht="22" customHeight="1">
      <c r="B84" s="47" t="inlineStr">
        <is>
          <t>Concentração do clarificado (Ca)</t>
        </is>
      </c>
      <c r="C84" s="81" t="n">
        <v>30</v>
      </c>
      <c r="D84" s="81" t="n">
        <v>25</v>
      </c>
      <c r="E84" s="82" t="n"/>
      <c r="F84" s="83" t="inlineStr">
        <is>
          <t>mg/L</t>
        </is>
      </c>
      <c r="G84" s="84">
        <f>IF($L$36=1,C84,IF($L$36=2,D84,IF($L$36=3,IF(E84="","",E84),"")))</f>
        <v>30</v>
      </c>
      <c r="H84" s="85" t="inlineStr">
        <is>
          <t>Sólidos no clarificado. Ex.: 30</t>
        </is>
      </c>
      <c r="K84" s="61" t="inlineStr">
        <is>
          <t>[Acúmulo de massa] negA (arredondado)</t>
        </is>
      </c>
      <c r="L84" s="61">
        <f>IFERROR(ROUND($L$77,IF($L$77=0,0,4-INT(LOG10(ABS($L$77))))),"")</f>
        <v>-80</v>
      </c>
    </row>
    <row r="85" ht="22" customHeight="1">
      <c r="B85" s="47" t="inlineStr">
        <is>
          <t>Vazão de lodo (Ql)</t>
        </is>
      </c>
      <c r="C85" s="81" t="n">
        <v>10</v>
      </c>
      <c r="D85" s="81" t="n">
        <v>15</v>
      </c>
      <c r="E85" s="82" t="n"/>
      <c r="F85" s="83" t="inlineStr">
        <is>
          <t>m³/dia</t>
        </is>
      </c>
      <c r="G85" s="84">
        <f>IF($L$36=1,C85,IF($L$36=2,D85,IF($L$36=3,IF(E85="","",E85),"")))</f>
        <v>10</v>
      </c>
      <c r="H85" s="85" t="inlineStr">
        <is>
          <t>Vazão de lodo retirada pelo fundo. Ex.: 10</t>
        </is>
      </c>
      <c r="K85" s="61" t="inlineStr">
        <is>
          <t>[Acúmulo de massa] negA (texto)</t>
        </is>
      </c>
      <c r="L85" s="61" t="str">
        <f>IF(ISNUMBER($L$84),FIXED($L$84,IF(ROUND($L$84,0)=$L$84,0,IF(ROUND($L$84,1)=$L$84,1,IF(ROUND($L$84,2)=$L$84,2,IF(ROUND($L$84,3)=$L$84,3,IF(ROUND($L$84,4)=$L$84,4,IF(ROUND($L$84,5)=$L$84,5,IF(ROUND($L$84,6)=$L$84,6,7)))))))),"?")</f>
        <v>-80</v>
      </c>
    </row>
    <row r="86" ht="8" customHeight="1">
      <c r="K86" s="61" t="inlineStr">
        <is>
          <t>[Acúmulo de massa] Cn (arredondado)</t>
        </is>
      </c>
      <c r="L86" s="61">
        <f>IFERROR(ROUND($G$138,IF($G$138=0,0,4-INT(LOG10(ABS($G$138))))),"")</f>
        <v>0</v>
      </c>
    </row>
    <row r="87" ht="24" customHeight="1">
      <c r="B87" s="86" t="inlineStr">
        <is>
          <t>D · RESULTADO AUTOMÁTICO</t>
        </is>
      </c>
      <c r="C87" s="86" t="n"/>
      <c r="D87" s="86" t="n"/>
      <c r="E87" s="86" t="n"/>
      <c r="F87" s="86" t="n"/>
      <c r="G87" s="86" t="n"/>
      <c r="H87" s="86" t="n"/>
      <c r="K87" s="61" t="inlineStr">
        <is>
          <t>[Acúmulo de massa] Cn (texto)</t>
        </is>
      </c>
      <c r="L87" s="61" t="str">
        <f>IF(ISNUMBER($L$86),FIXED($L$86,IF(ROUND($L$86,0)=$L$86,0,IF(ROUND($L$86,1)=$L$86,1,IF(ROUND($L$86,2)=$L$86,2,IF(ROUND($L$86,3)=$L$86,3,IF(ROUND($L$86,4)=$L$86,4,IF(ROUND($L$86,5)=$L$86,5,IF(ROUND($L$86,6)=$L$86,6,7)))))))),"?")</f>
        <v>0</v>
      </c>
    </row>
    <row r="88" ht="22" customHeight="1">
      <c r="B88" s="87" t="inlineStr">
        <is>
          <t>CONCENTRAÇÃO NO LODO (Cl)</t>
        </is>
      </c>
      <c r="C88" s="87" t="n"/>
      <c r="D88" s="87" t="n"/>
      <c r="E88" s="88" t="inlineStr">
        <is>
          <t>OUTROS RESULTADOS</t>
        </is>
      </c>
      <c r="F88" s="88" t="n"/>
      <c r="G88" s="88" t="n"/>
      <c r="H88" s="88" t="n"/>
      <c r="K88" s="61" t="inlineStr">
        <is>
          <t>[Acúmulo de massa] E (arredondado)</t>
        </is>
      </c>
      <c r="L88" s="61">
        <f>IFERROR(ROUND($G$135,IF($G$135=0,0,4-INT(LOG10(ABS($G$135))))),"")</f>
        <v>100</v>
      </c>
    </row>
    <row r="89" ht="21" customHeight="1">
      <c r="B89" s="116">
        <f>IF($L$49,$L$39,"—")</f>
        <v>7530</v>
      </c>
      <c r="C89" s="90" t="n"/>
      <c r="D89" s="91" t="inlineStr">
        <is>
          <t>mg/L</t>
        </is>
      </c>
      <c r="E89" s="92" t="inlineStr">
        <is>
          <t>Carga de entrada</t>
        </is>
      </c>
      <c r="F89" s="92" t="n"/>
      <c r="G89" s="93">
        <f>IF($L$49,$L$40,"—")</f>
        <v>90</v>
      </c>
      <c r="H89" s="94" t="inlineStr">
        <is>
          <t>kg/dia</t>
        </is>
      </c>
      <c r="K89" s="61" t="inlineStr">
        <is>
          <t>[Acúmulo de massa] E (texto)</t>
        </is>
      </c>
      <c r="L89" s="61" t="str">
        <f>IF(ISNUMBER($L$88),FIXED($L$88,IF(ROUND($L$88,0)=$L$88,0,IF(ROUND($L$88,1)=$L$88,1,IF(ROUND($L$88,2)=$L$88,2,IF(ROUND($L$88,3)=$L$88,3,IF(ROUND($L$88,4)=$L$88,4,IF(ROUND($L$88,5)=$L$88,5,IF(ROUND($L$88,6)=$L$88,6,7)))))))),"?")</f>
        <v>100</v>
      </c>
    </row>
    <row r="90" ht="21" customHeight="1">
      <c r="B90" s="90" t="n"/>
      <c r="C90" s="90" t="n"/>
      <c r="D90" s="91" t="n"/>
      <c r="E90" s="92" t="inlineStr">
        <is>
          <t>Carga no clarificado</t>
        </is>
      </c>
      <c r="F90" s="92" t="n"/>
      <c r="G90" s="93">
        <f>IF($L$49,$L$41,"—")</f>
        <v>14.7</v>
      </c>
      <c r="H90" s="94" t="inlineStr">
        <is>
          <t>kg/dia</t>
        </is>
      </c>
      <c r="K90" s="61" t="inlineStr">
        <is>
          <t>[Acúmulo de massa] G (arredondado)</t>
        </is>
      </c>
      <c r="L90" s="61">
        <f>IFERROR(ROUND($G$137,IF($G$137=0,0,4-INT(LOG10(ABS($G$137))))),"")</f>
        <v>0</v>
      </c>
    </row>
    <row r="91" ht="21" customHeight="1">
      <c r="B91" s="90" t="n"/>
      <c r="C91" s="90" t="n"/>
      <c r="D91" s="91" t="n"/>
      <c r="E91" s="92" t="inlineStr">
        <is>
          <t>Carga no lodo</t>
        </is>
      </c>
      <c r="F91" s="92" t="n"/>
      <c r="G91" s="108">
        <f>IF($L$49,$L$42,"—")</f>
        <v>75.3</v>
      </c>
      <c r="H91" s="94" t="inlineStr">
        <is>
          <t>kg/dia</t>
        </is>
      </c>
      <c r="K91" s="61" t="inlineStr">
        <is>
          <t>[Acúmulo de massa] G (texto)</t>
        </is>
      </c>
      <c r="L91" s="61" t="str">
        <f>IF(ISNUMBER($L$90),FIXED($L$90,IF(ROUND($L$90,0)=$L$90,0,IF(ROUND($L$90,1)=$L$90,1,IF(ROUND($L$90,2)=$L$90,2,IF(ROUND($L$90,3)=$L$90,3,IF(ROUND($L$90,4)=$L$90,4,IF(ROUND($L$90,5)=$L$90,5,IF(ROUND($L$90,6)=$L$90,6,7)))))))),"?")</f>
        <v>0</v>
      </c>
    </row>
    <row r="92" ht="21" customHeight="1">
      <c r="B92" s="90" t="n"/>
      <c r="C92" s="90" t="n"/>
      <c r="D92" s="91" t="n"/>
      <c r="E92" s="92" t="inlineStr">
        <is>
          <t>Balanço hidráulico</t>
        </is>
      </c>
      <c r="F92" s="92" t="n"/>
      <c r="G92" s="117" t="str">
        <f>IF($L$49,$L$46,"—")</f>
        <v>✔ Fecha</v>
      </c>
      <c r="H92" s="94" t="inlineStr"/>
      <c r="K92" s="61" t="inlineStr">
        <is>
          <t>[Acúmulo de massa] Sd (arredondado)</t>
        </is>
      </c>
      <c r="L92" s="61">
        <f>IFERROR(ROUND($G$136,IF($G$136=0,0,4-INT(LOG10(ABS($G$136))))),"")</f>
        <v>20</v>
      </c>
    </row>
    <row r="93" ht="47" customHeight="1">
      <c r="B93" s="96" t="inlineStr">
        <is>
          <t>Interpretação</t>
        </is>
      </c>
      <c r="C93" s="97" t="str">
        <f>IF($L$49,IF($L$39&lt;0,"O resultado é negativo: pelos dados, o clarificado leva mais sólidos do que entram no decantador. Isso não acontece na prática, então confira vazões e concentrações.","O lodo sai com "&amp;$L$51&amp;" mg/L de sólidos."&amp;IF(ISNUMBER($L$47)," É cerca de "&amp;$L$59&amp;" vezes a concentração de entrada.",""))&amp;" "&amp;IF($L$45,"Balanço hidráulico fechado: Qe = Qa + Ql = "&amp;$L$55&amp;" m³/dia.","Atenção: Qe ("&amp;$L$55&amp;") é diferente de Qa + Ql ("&amp;$L$53&amp;"). Diferença de "&amp;$L$57&amp;" m³/dia. Confira as vazões."),"Resultado indisponível: corrija o item indicado em Status dos dados.")</f>
        <v>O lodo sai com 7.530 mg/L de sólidos. É cerca de 41,8 vezes a concentração de entrada. Balanço hidráulico fechado: Qe = Qa + Ql = 500 m³/dia.</v>
      </c>
      <c r="D93" s="97" t="n"/>
      <c r="E93" s="97" t="n"/>
      <c r="F93" s="97" t="n"/>
      <c r="G93" s="97" t="n"/>
      <c r="H93" s="97" t="n"/>
      <c r="K93" s="61" t="inlineStr">
        <is>
          <t>[Acúmulo de massa] Sd (texto)</t>
        </is>
      </c>
      <c r="L93" s="61" t="str">
        <f>IF(ISNUMBER($L$92),FIXED($L$92,IF(ROUND($L$92,0)=$L$92,0,IF(ROUND($L$92,1)=$L$92,1,IF(ROUND($L$92,2)=$L$92,2,IF(ROUND($L$92,3)=$L$92,3,IF(ROUND($L$92,4)=$L$92,4,IF(ROUND($L$92,5)=$L$92,5,IF(ROUND($L$92,6)=$L$92,6,7)))))))),"?")</f>
        <v>20</v>
      </c>
    </row>
    <row r="94" ht="21" customHeight="1">
      <c r="B94" s="96" t="inlineStr">
        <is>
          <t>Status dos dados</t>
        </is>
      </c>
      <c r="C94" s="98" t="str">
        <f>IF($L$49,"✔ Dados válidos. Resultado calculado automaticamente.","⚠ "&amp;$L$48)</f>
        <v>✔ Dados válidos. Resultado calculado automaticamente.</v>
      </c>
      <c r="D94" s="98" t="n"/>
      <c r="E94" s="98" t="n"/>
      <c r="F94" s="98" t="n"/>
      <c r="G94" s="98" t="n"/>
      <c r="H94" s="98" t="n"/>
      <c r="K94" s="61" t="inlineStr">
        <is>
          <t>[Acúmulo de massa] resumo</t>
        </is>
      </c>
      <c r="L94" s="61" t="str">
        <f>IF($L$81,$L$83&amp;" "&amp;$G$134,"—")</f>
        <v>80 kg/dia</v>
      </c>
    </row>
    <row r="95" ht="10" customHeight="1"/>
    <row r="96" ht="24" customHeight="1">
      <c r="B96" s="99" t="inlineStr">
        <is>
          <t>E · ENTENDA O CÁLCULO</t>
        </is>
      </c>
      <c r="C96" s="99" t="n"/>
      <c r="D96" s="99" t="n"/>
      <c r="E96" s="99" t="n"/>
      <c r="F96" s="99" t="n"/>
      <c r="G96" s="99" t="n"/>
      <c r="H96" s="99" t="n"/>
    </row>
    <row r="97" ht="26" customHeight="1">
      <c r="B97" s="64" t="inlineStr">
        <is>
          <t>Fórmula</t>
        </is>
      </c>
      <c r="C97" s="100" t="inlineStr">
        <is>
          <t>Qe × Ce = Qa × Ca + Ql × Cl     →     Cl = (Qe × Ce − Qa × Ca) ÷ Ql</t>
        </is>
      </c>
      <c r="D97" s="100" t="n"/>
      <c r="E97" s="100" t="n"/>
      <c r="F97" s="100" t="n"/>
      <c r="G97" s="100" t="n"/>
      <c r="H97" s="100" t="n"/>
    </row>
    <row r="98" ht="19" customHeight="1">
      <c r="B98" s="64" t="inlineStr">
        <is>
          <t>O que é cada variável</t>
        </is>
      </c>
      <c r="C98" s="25" t="inlineStr">
        <is>
          <t>Qe, Ce = entrada   |   Qa, Ca = clarificado (saída superior)   |   Ql, Cl = lodo (saída inferior)</t>
        </is>
      </c>
      <c r="D98" s="25" t="n"/>
      <c r="E98" s="25" t="n"/>
      <c r="F98" s="25" t="n"/>
      <c r="G98" s="25" t="n"/>
      <c r="H98" s="25" t="n"/>
    </row>
    <row r="99" ht="21" customHeight="1">
      <c r="B99" s="64" t="inlineStr">
        <is>
          <t>Valores inseridos</t>
        </is>
      </c>
      <c r="C99" s="25" t="str">
        <f>"Qe = "&amp;$L$55&amp;" "&amp;"m³/dia"&amp;"   |   "&amp;"Ce = "&amp;$L$63&amp;" "&amp;"mg/L"&amp;"   |   "&amp;"Qa = "&amp;$L$65&amp;" "&amp;"m³/dia"&amp;"   |   "&amp;"Ca = "&amp;$L$61&amp;" "&amp;"mg/L"&amp;"   |   "&amp;"Ql = "&amp;$L$67&amp;" "&amp;"m³/dia"</f>
        <v>Qe = 500 m³/dia   |   Ce = 180 mg/L   |   Qa = 490 m³/dia   |   Ca = 30 mg/L   |   Ql = 10 m³/dia</v>
      </c>
      <c r="D99" s="25" t="n"/>
      <c r="E99" s="25" t="n"/>
      <c r="F99" s="25" t="n"/>
      <c r="G99" s="25" t="n"/>
      <c r="H99" s="25" t="n"/>
    </row>
    <row r="100" ht="21" customHeight="1">
      <c r="B100" s="64" t="inlineStr">
        <is>
          <t>Substituição</t>
        </is>
      </c>
      <c r="C100" s="25" t="str">
        <f>IF($L$49,"Cl = ("&amp;$L$55&amp;" × "&amp;$L$63&amp;" − "&amp;$L$65&amp;" × "&amp;$L$61&amp;") ÷ "&amp;$L$67&amp;" = ("&amp;$L$71&amp;" − "&amp;$L$69&amp;") ÷ "&amp;$L$67&amp;" = "&amp;$L$51&amp;" mg/L","Aguardando dados válidos para montar a conta.")</f>
        <v>Cl = (500 × 180 − 490 × 30) ÷ 10 = (90.000 − 14.700) ÷ 10 = 7.530 mg/L</v>
      </c>
      <c r="D100" s="25" t="n"/>
      <c r="E100" s="25" t="n"/>
      <c r="F100" s="25" t="n"/>
      <c r="G100" s="25" t="n"/>
      <c r="H100" s="25" t="n"/>
    </row>
    <row r="101" ht="21" customHeight="1">
      <c r="B101" s="64" t="inlineStr">
        <is>
          <t>Resultado</t>
        </is>
      </c>
      <c r="C101" s="25" t="str">
        <f>IF($L$49,"Cl = "&amp;$L$51&amp;" mg/L   |   Carga no lodo = "&amp;$L$73&amp;" kg/dia   |   Qa + Ql = "&amp;$L$53&amp;" m³/dia","Aguardando dados válidos para montar a conta.")</f>
        <v>Cl = 7.530 mg/L   |   Carga no lodo = 75,3 kg/dia   |   Qa + Ql = 500 m³/dia</v>
      </c>
      <c r="D101" s="25" t="n"/>
      <c r="E101" s="25" t="n"/>
      <c r="F101" s="25" t="n"/>
      <c r="G101" s="25" t="n"/>
      <c r="H101" s="25" t="n"/>
    </row>
    <row r="102" ht="10" customHeight="1"/>
    <row r="103" ht="24" customHeight="1">
      <c r="B103" s="99" t="inlineStr">
        <is>
          <t>G · COMPARAÇÃO VISUAL</t>
        </is>
      </c>
      <c r="C103" s="99" t="n"/>
      <c r="D103" s="99" t="n"/>
      <c r="E103" s="99" t="n"/>
      <c r="F103" s="99" t="n"/>
      <c r="G103" s="99" t="n"/>
      <c r="H103" s="99" t="n"/>
    </row>
    <row r="104" ht="15" customHeight="1">
      <c r="E104" s="110" t="inlineStr">
        <is>
          <t>Dados do gráfico (atualizam sozinhos)</t>
        </is>
      </c>
      <c r="F104" s="110" t="n"/>
      <c r="G104" s="110" t="n"/>
      <c r="H104" s="110" t="n"/>
    </row>
    <row r="105" ht="15" customHeight="1">
      <c r="E105" s="65" t="inlineStr">
        <is>
          <t>Entrada</t>
        </is>
      </c>
      <c r="F105" s="65" t="n"/>
      <c r="G105" s="111">
        <f>IF($L$49,$L$40,"")</f>
        <v>90</v>
      </c>
      <c r="H105" s="112" t="inlineStr">
        <is>
          <t>kg/dia</t>
        </is>
      </c>
    </row>
    <row r="106" ht="15" customHeight="1">
      <c r="E106" s="65" t="inlineStr">
        <is>
          <t>Clarificado</t>
        </is>
      </c>
      <c r="F106" s="65" t="n"/>
      <c r="G106" s="111">
        <f>IF($L$49,$L$41,"")</f>
        <v>14.7</v>
      </c>
      <c r="H106" s="112" t="inlineStr">
        <is>
          <t>kg/dia</t>
        </is>
      </c>
    </row>
    <row r="107" ht="15" customHeight="1">
      <c r="E107" s="65" t="inlineStr">
        <is>
          <t>Lodo</t>
        </is>
      </c>
      <c r="F107" s="65" t="n"/>
      <c r="G107" s="111">
        <f>IF($L$49,$L$42,"")</f>
        <v>75.3</v>
      </c>
      <c r="H107" s="112" t="inlineStr">
        <is>
          <t>kg/dia</t>
        </is>
      </c>
    </row>
    <row r="108" ht="15" customHeight="1"/>
    <row r="109" ht="15" customHeight="1">
      <c r="E109" s="113" t="inlineStr">
        <is>
          <t>O gráfico usa os mesmos resultados do card verde. Mude um dado e veja as barras mudarem.</t>
        </is>
      </c>
      <c r="F109" s="113" t="n"/>
      <c r="G109" s="113" t="n"/>
      <c r="H109" s="113" t="n"/>
    </row>
    <row r="110" ht="15" customHeight="1">
      <c r="E110" s="113" t="n"/>
      <c r="F110" s="113" t="n"/>
      <c r="G110" s="113" t="n"/>
      <c r="H110" s="113" t="n"/>
    </row>
    <row r="111" ht="15" customHeight="1">
      <c r="E111" s="113" t="n"/>
      <c r="F111" s="113" t="n"/>
      <c r="G111" s="113" t="n"/>
      <c r="H111" s="113" t="n"/>
    </row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0" customHeight="1"/>
    <row r="119" ht="24" customHeight="1">
      <c r="B119" s="99" t="inlineStr">
        <is>
          <t>F · EXEMPLO E ORIENTAÇÃO</t>
        </is>
      </c>
      <c r="C119" s="99" t="n"/>
      <c r="D119" s="99" t="n"/>
      <c r="E119" s="99" t="n"/>
      <c r="F119" s="99" t="n"/>
      <c r="G119" s="99" t="n"/>
      <c r="H119" s="99" t="n"/>
    </row>
    <row r="120" ht="71" customHeight="1">
      <c r="B120" s="64" t="inlineStr">
        <is>
          <t>Exemplos desta ferramenta</t>
        </is>
      </c>
      <c r="C120" s="25" t="inlineStr">
        <is>
          <t>Exemplo 01: Um decantador primário recebe 500 m³/dia com 180 mg/L de SST. O clarificado sai com 490 m³/dia e 30 mg/L, e o lodo é retirado a 10 m³/dia.
Exemplo 02: Um decantador secundário recebe 1.000 m³/dia com 220 mg/L de sólidos. Saem 985 m³/dia de clarificado com 25 mg/L e 15 m³/dia de lodo.
Escolha o exemplo na lista Cenário para ver a resolução completa.</t>
        </is>
      </c>
      <c r="D120" s="25" t="n"/>
      <c r="E120" s="25" t="n"/>
      <c r="F120" s="25" t="n"/>
      <c r="G120" s="25" t="n"/>
      <c r="H120" s="25" t="n"/>
    </row>
    <row r="121" ht="32" customHeight="1">
      <c r="B121" s="64" t="inlineStr">
        <is>
          <t>Como interpretar</t>
        </is>
      </c>
      <c r="C121" s="25" t="inlineStr">
        <is>
          <t>A massa de sólidos se conserva, mas a vazão se divide. Como o lodo tem vazão pequena, ele fica muito concentrado.</t>
        </is>
      </c>
      <c r="D121" s="25" t="n"/>
      <c r="E121" s="25" t="n"/>
      <c r="F121" s="25" t="n"/>
      <c r="G121" s="25" t="n"/>
      <c r="H121" s="25" t="n"/>
    </row>
    <row r="122" ht="19" customHeight="1">
      <c r="B122" s="101" t="inlineStr">
        <is>
          <t>⚠ Erro comum</t>
        </is>
      </c>
      <c r="C122" s="102" t="inlineStr">
        <is>
          <t>Esquecer de conferir as vazões. Se Qe for diferente de Qa + Ql, o balanço de massa também fica errado.</t>
        </is>
      </c>
      <c r="D122" s="102" t="n"/>
      <c r="E122" s="102" t="n"/>
      <c r="F122" s="102" t="n"/>
      <c r="G122" s="102" t="n"/>
      <c r="H122" s="102" t="n"/>
    </row>
    <row r="123" ht="32" customHeight="1">
      <c r="B123" s="103" t="inlineStr">
        <is>
          <t>💡 Dica prática</t>
        </is>
      </c>
      <c r="C123" s="104" t="inlineStr">
        <is>
          <t>Confira sempre o balanço hidráulico antes do balanço de massa. A linha Balanço hidráulico faz isso por você.</t>
        </is>
      </c>
      <c r="D123" s="104" t="n"/>
      <c r="E123" s="104" t="n"/>
      <c r="F123" s="104" t="n"/>
      <c r="G123" s="104" t="n"/>
      <c r="H123" s="104" t="n"/>
    </row>
    <row r="124" ht="14" customHeight="1"/>
    <row r="125" ht="14" customHeight="1"/>
    <row r="126" ht="30" customHeight="1">
      <c r="B126" s="72" t="inlineStr">
        <is>
          <t>FERRAMENTA 3  ·  ACÚMULO DE MASSA</t>
        </is>
      </c>
      <c r="C126" s="72" t="n"/>
      <c r="D126" s="72" t="n"/>
      <c r="E126" s="72" t="n"/>
      <c r="F126" s="72" t="n"/>
      <c r="G126" s="72" t="n"/>
      <c r="H126" s="73" t="inlineStr">
        <is>
          <t>▲ Voltar ao topo</t>
        </is>
      </c>
    </row>
    <row r="127" ht="32" customHeight="1">
      <c r="B127" s="74" t="inlineStr">
        <is>
          <t>Aplica a equação geral do balanço de massa para saber se o constituinte está acumulando, diminuindo ou estável dentro do sistema. Todos os termos precisam estar na mesma unidade de massa por tempo.</t>
        </is>
      </c>
      <c r="C127" s="74" t="n"/>
      <c r="D127" s="74" t="n"/>
      <c r="E127" s="74" t="n"/>
      <c r="F127" s="74" t="n"/>
      <c r="G127" s="74" t="n"/>
      <c r="H127" s="74" t="n"/>
    </row>
    <row r="128" ht="6" customHeight="1"/>
    <row r="129" ht="20" customHeight="1">
      <c r="B129" s="75" t="inlineStr">
        <is>
          <t>B · ESCOLHA DO CENÁRIO</t>
        </is>
      </c>
      <c r="C129" s="75" t="n"/>
      <c r="D129" s="75" t="n"/>
      <c r="E129" s="75" t="n"/>
      <c r="F129" s="75" t="n"/>
      <c r="G129" s="75" t="n"/>
      <c r="H129" s="75" t="n"/>
    </row>
    <row r="130" ht="30" customHeight="1">
      <c r="B130" s="47" t="inlineStr">
        <is>
          <t>Cenário  ▼</t>
        </is>
      </c>
      <c r="C130" s="76" t="inlineStr">
        <is>
          <t>Exemplo 01</t>
        </is>
      </c>
      <c r="D130" s="77" t="n"/>
      <c r="E130" s="68" t="inlineStr">
        <is>
          <t>Exemplo 01 e Exemplo 02 usam dados prontos. Meu cálculo usa os valores que você digitar na coluna amarela.</t>
        </is>
      </c>
      <c r="F130" s="68" t="n"/>
      <c r="G130" s="68" t="n"/>
      <c r="H130" s="68" t="n"/>
    </row>
    <row r="131" ht="6" customHeight="1"/>
    <row r="132" ht="20" customHeight="1">
      <c r="B132" s="75" t="inlineStr">
        <is>
          <t>C · DADOS DE ENTRADA</t>
        </is>
      </c>
      <c r="C132" s="75" t="n"/>
      <c r="D132" s="75" t="n"/>
      <c r="E132" s="75" t="n"/>
      <c r="F132" s="75" t="n"/>
      <c r="G132" s="75" t="n"/>
      <c r="H132" s="75" t="n"/>
    </row>
    <row r="133" ht="22" customHeight="1">
      <c r="B133" s="78" t="inlineStr">
        <is>
          <t>Variável</t>
        </is>
      </c>
      <c r="C133" s="78" t="inlineStr">
        <is>
          <t>Exemplo 01</t>
        </is>
      </c>
      <c r="D133" s="78" t="inlineStr">
        <is>
          <t>Exemplo 02</t>
        </is>
      </c>
      <c r="E133" s="79" t="inlineStr">
        <is>
          <t>MEU CÁLCULO</t>
        </is>
      </c>
      <c r="F133" s="78" t="inlineStr">
        <is>
          <t>Unidade</t>
        </is>
      </c>
      <c r="G133" s="80" t="inlineStr">
        <is>
          <t>Valor em uso</t>
        </is>
      </c>
      <c r="H133" s="78" t="inlineStr">
        <is>
          <t>Orientação de preenchimento</t>
        </is>
      </c>
    </row>
    <row r="134" ht="29.4" customHeight="1">
      <c r="B134" s="47" t="inlineStr">
        <is>
          <t>Unidade dos termos</t>
        </is>
      </c>
      <c r="C134" s="81" t="inlineStr">
        <is>
          <t>kg/dia</t>
        </is>
      </c>
      <c r="D134" s="81" t="inlineStr">
        <is>
          <t>kg/dia</t>
        </is>
      </c>
      <c r="E134" s="82" t="inlineStr">
        <is>
          <t>kg/dia</t>
        </is>
      </c>
      <c r="F134" s="83" t="inlineStr">
        <is>
          <t>lista ▼</t>
        </is>
      </c>
      <c r="G134" s="84" t="str">
        <f>IF($L$75=1,C134,IF($L$75=2,D134,IF($L$75=3,IF(E134="","",E134),"")))</f>
        <v>kg/dia</v>
      </c>
      <c r="H134" s="85" t="inlineStr">
        <is>
          <t>Todos os termos abaixo devem estar nesta mesma unidade.</t>
        </is>
      </c>
    </row>
    <row r="135" ht="29.4" customHeight="1">
      <c r="B135" s="47" t="inlineStr">
        <is>
          <t>Entrada</t>
        </is>
      </c>
      <c r="C135" s="81" t="n">
        <v>100</v>
      </c>
      <c r="D135" s="81" t="n">
        <v>50</v>
      </c>
      <c r="E135" s="82" t="n"/>
      <c r="F135" s="83" t="str">
        <f>$G$134</f>
        <v>kg/dia</v>
      </c>
      <c r="G135" s="84">
        <f>IF($L$75=1,C135,IF($L$75=2,D135,IF($L$75=3,IF(E135="","",E135),"")))</f>
        <v>100</v>
      </c>
      <c r="H135" s="85" t="inlineStr">
        <is>
          <t>Massa que entra por unidade de tempo. Ex.: 100</t>
        </is>
      </c>
    </row>
    <row r="136" ht="22" customHeight="1">
      <c r="B136" s="47" t="inlineStr">
        <is>
          <t>Saída</t>
        </is>
      </c>
      <c r="C136" s="81" t="n">
        <v>20</v>
      </c>
      <c r="D136" s="81" t="n">
        <v>10</v>
      </c>
      <c r="E136" s="82" t="n"/>
      <c r="F136" s="83" t="str">
        <f>$G$134</f>
        <v>kg/dia</v>
      </c>
      <c r="G136" s="84">
        <f>IF($L$75=1,C136,IF($L$75=2,D136,IF($L$75=3,IF(E136="","",E136),"")))</f>
        <v>20</v>
      </c>
      <c r="H136" s="85" t="inlineStr">
        <is>
          <t>Massa que sai por unidade de tempo. Ex.: 20</t>
        </is>
      </c>
    </row>
    <row r="137" ht="29.4" customHeight="1">
      <c r="B137" s="47" t="inlineStr">
        <is>
          <t>Geração interna</t>
        </is>
      </c>
      <c r="C137" s="81" t="n">
        <v>0</v>
      </c>
      <c r="D137" s="81" t="n">
        <v>0</v>
      </c>
      <c r="E137" s="82" t="n"/>
      <c r="F137" s="83" t="str">
        <f>$G$134</f>
        <v>kg/dia</v>
      </c>
      <c r="G137" s="84">
        <f>IF($L$75=1,C137,IF($L$75=2,D137,IF($L$75=3,IF(E137="","",E137),"")))</f>
        <v>0</v>
      </c>
      <c r="H137" s="85" t="inlineStr">
        <is>
          <t>Massa produzida dentro do sistema. Digite 0 se não houver.</t>
        </is>
      </c>
    </row>
    <row r="138" ht="29.4" customHeight="1">
      <c r="B138" s="47" t="inlineStr">
        <is>
          <t>Consumo ou transformação</t>
        </is>
      </c>
      <c r="C138" s="81" t="n">
        <v>0</v>
      </c>
      <c r="D138" s="81" t="n">
        <v>45</v>
      </c>
      <c r="E138" s="82" t="n"/>
      <c r="F138" s="83" t="str">
        <f>$G$134</f>
        <v>kg/dia</v>
      </c>
      <c r="G138" s="84">
        <f>IF($L$75=1,C138,IF($L$75=2,D138,IF($L$75=3,IF(E138="","",E138),"")))</f>
        <v>0</v>
      </c>
      <c r="H138" s="85" t="inlineStr">
        <is>
          <t>Massa consumida ou degradada. Digite 0 se não houver.</t>
        </is>
      </c>
    </row>
    <row r="139" ht="8" customHeight="1"/>
    <row r="140" ht="24" customHeight="1">
      <c r="B140" s="86" t="inlineStr">
        <is>
          <t>D · RESULTADO AUTOMÁTICO</t>
        </is>
      </c>
      <c r="C140" s="86" t="n"/>
      <c r="D140" s="86" t="n"/>
      <c r="E140" s="86" t="n"/>
      <c r="F140" s="86" t="n"/>
      <c r="G140" s="86" t="n"/>
      <c r="H140" s="86" t="n"/>
    </row>
    <row r="141" ht="22" customHeight="1">
      <c r="B141" s="87" t="inlineStr">
        <is>
          <t>TAXA DE ACÚMULO DE MASSA</t>
        </is>
      </c>
      <c r="C141" s="87" t="n"/>
      <c r="D141" s="87" t="n"/>
      <c r="E141" s="88" t="inlineStr">
        <is>
          <t>OUTROS RESULTADOS</t>
        </is>
      </c>
      <c r="F141" s="88" t="n"/>
      <c r="G141" s="88" t="n"/>
      <c r="H141" s="88" t="n"/>
    </row>
    <row r="142" ht="21" customHeight="1">
      <c r="B142" s="116">
        <f>IF($L$81,$L$76,"—")</f>
        <v>80</v>
      </c>
      <c r="C142" s="90" t="n"/>
      <c r="D142" s="91" t="str">
        <f>$G$134</f>
        <v>kg/dia</v>
      </c>
      <c r="E142" s="92" t="inlineStr">
        <is>
          <t>Entrada + geração</t>
        </is>
      </c>
      <c r="F142" s="92" t="n"/>
      <c r="G142" s="93">
        <f>IF($L$81,$L$78,"—")</f>
        <v>100</v>
      </c>
      <c r="H142" s="94" t="str">
        <f>$G$134</f>
        <v>kg/dia</v>
      </c>
    </row>
    <row r="143" ht="21" customHeight="1">
      <c r="B143" s="90" t="n"/>
      <c r="C143" s="90" t="n"/>
      <c r="D143" s="91" t="n"/>
      <c r="E143" s="92" t="inlineStr">
        <is>
          <t>Saída + consumo</t>
        </is>
      </c>
      <c r="F143" s="92" t="n"/>
      <c r="G143" s="93">
        <f>IF($L$81,$L$79,"—")</f>
        <v>20</v>
      </c>
      <c r="H143" s="94" t="str">
        <f>$G$134</f>
        <v>kg/dia</v>
      </c>
    </row>
    <row r="144" ht="21" customHeight="1">
      <c r="B144" s="90" t="n"/>
      <c r="C144" s="90" t="n"/>
      <c r="D144" s="91" t="n"/>
      <c r="E144" s="95" t="n"/>
      <c r="F144" s="95" t="n"/>
      <c r="G144" s="95" t="n"/>
      <c r="H144" s="95" t="n"/>
    </row>
    <row r="145" ht="21" customHeight="1">
      <c r="B145" s="90" t="n"/>
      <c r="C145" s="90" t="n"/>
      <c r="D145" s="91" t="n"/>
      <c r="E145" s="95" t="n"/>
      <c r="F145" s="95" t="n"/>
      <c r="G145" s="95" t="n"/>
      <c r="H145" s="95" t="n"/>
    </row>
    <row r="146" ht="34" customHeight="1">
      <c r="B146" s="96" t="inlineStr">
        <is>
          <t>Interpretação</t>
        </is>
      </c>
      <c r="C146" s="97" t="str">
        <f>IF($L$81,IF($L$76&gt;0,"Acúmulo positivo: a massa dentro do sistema aumenta "&amp;$L$83&amp;" "&amp;$G$134&amp;". O constituinte está se acumulando (por exemplo, lodo no fundo de um tanque).",IF($L$76=0,"Acúmulo nulo: o que entra e é gerado é igual ao que sai e é consumido. O sistema está em regime permanente.","Acúmulo negativo: a massa dentro do sistema diminui "&amp;$L$85&amp;" "&amp;$G$134&amp;". O sistema está perdendo o constituinte ao longo do tempo.")),"Resultado indisponível: corrija o item indicado em Status dos dados.")</f>
        <v>Acúmulo positivo: a massa dentro do sistema aumenta 80 kg/dia. O constituinte está se acumulando (por exemplo, lodo no fundo de um tanque).</v>
      </c>
      <c r="D146" s="97" t="n"/>
      <c r="E146" s="97" t="n"/>
      <c r="F146" s="97" t="n"/>
      <c r="G146" s="97" t="n"/>
      <c r="H146" s="97" t="n"/>
    </row>
    <row r="147" ht="21" customHeight="1">
      <c r="B147" s="96" t="inlineStr">
        <is>
          <t>Status dos dados</t>
        </is>
      </c>
      <c r="C147" s="98" t="str">
        <f>IF($L$81,"✔ Dados válidos. Resultado calculado automaticamente.","⚠ "&amp;$L$80)</f>
        <v>✔ Dados válidos. Resultado calculado automaticamente.</v>
      </c>
      <c r="D147" s="98" t="n"/>
      <c r="E147" s="98" t="n"/>
      <c r="F147" s="98" t="n"/>
      <c r="G147" s="98" t="n"/>
      <c r="H147" s="98" t="n"/>
    </row>
    <row r="148" ht="10" customHeight="1"/>
    <row r="149" ht="24" customHeight="1">
      <c r="B149" s="99" t="inlineStr">
        <is>
          <t>E · ENTENDA O CÁLCULO</t>
        </is>
      </c>
      <c r="C149" s="99" t="n"/>
      <c r="D149" s="99" t="n"/>
      <c r="E149" s="99" t="n"/>
      <c r="F149" s="99" t="n"/>
      <c r="G149" s="99" t="n"/>
      <c r="H149" s="99" t="n"/>
    </row>
    <row r="150" ht="26" customHeight="1">
      <c r="B150" s="64" t="inlineStr">
        <is>
          <t>Fórmula</t>
        </is>
      </c>
      <c r="C150" s="100" t="inlineStr">
        <is>
          <t>Acúmulo = Entrada − Saída + Geração − Consumo</t>
        </is>
      </c>
      <c r="D150" s="100" t="n"/>
      <c r="E150" s="100" t="n"/>
      <c r="F150" s="100" t="n"/>
      <c r="G150" s="100" t="n"/>
      <c r="H150" s="100" t="n"/>
    </row>
    <row r="151" ht="32" customHeight="1">
      <c r="B151" s="64" t="inlineStr">
        <is>
          <t>O que é cada variável</t>
        </is>
      </c>
      <c r="C151" s="25" t="inlineStr">
        <is>
          <t>Todos os termos são taxas de massa por tempo e precisam estar na MESMA unidade (escolhida em Unidade dos termos).</t>
        </is>
      </c>
      <c r="D151" s="25" t="n"/>
      <c r="E151" s="25" t="n"/>
      <c r="F151" s="25" t="n"/>
      <c r="G151" s="25" t="n"/>
      <c r="H151" s="25" t="n"/>
    </row>
    <row r="152" ht="21" customHeight="1">
      <c r="B152" s="64" t="inlineStr">
        <is>
          <t>Valores inseridos</t>
        </is>
      </c>
      <c r="C152" s="25" t="str">
        <f>"Entrada = "&amp;$L$89&amp;" "&amp;$G$134&amp;"   |   "&amp;"Saída = "&amp;$L$93&amp;" "&amp;$G$134&amp;"   |   "&amp;"Geração = "&amp;$L$91&amp;" "&amp;$G$134&amp;"   |   "&amp;"Consumo = "&amp;$L$87&amp;" "&amp;$G$134</f>
        <v>Entrada = 100 kg/dia   |   Saída = 20 kg/dia   |   Geração = 0 kg/dia   |   Consumo = 0 kg/dia</v>
      </c>
      <c r="D152" s="25" t="n"/>
      <c r="E152" s="25" t="n"/>
      <c r="F152" s="25" t="n"/>
      <c r="G152" s="25" t="n"/>
      <c r="H152" s="25" t="n"/>
    </row>
    <row r="153" ht="21" customHeight="1">
      <c r="B153" s="64" t="inlineStr">
        <is>
          <t>Substituição</t>
        </is>
      </c>
      <c r="C153" s="25" t="str">
        <f>IF($L$81,"Acúmulo = "&amp;$L$89&amp;" − "&amp;$L$93&amp;" + "&amp;$L$91&amp;" − "&amp;$L$87&amp;" = "&amp;$L$83&amp;" "&amp;$G$134,"Aguardando dados válidos para montar a conta.")</f>
        <v>Acúmulo = 100 − 20 + 0 − 0 = 80 kg/dia</v>
      </c>
      <c r="D153" s="25" t="n"/>
      <c r="E153" s="25" t="n"/>
      <c r="F153" s="25" t="n"/>
      <c r="G153" s="25" t="n"/>
      <c r="H153" s="25" t="n"/>
    </row>
    <row r="154" ht="21" customHeight="1">
      <c r="B154" s="64" t="inlineStr">
        <is>
          <t>Resultado</t>
        </is>
      </c>
      <c r="C154" s="25" t="str">
        <f>IF($L$81,"Acúmulo = "&amp;$L$83&amp;" "&amp;$G$134,"Aguardando dados válidos para montar a conta.")</f>
        <v>Acúmulo = 80 kg/dia</v>
      </c>
      <c r="D154" s="25" t="n"/>
      <c r="E154" s="25" t="n"/>
      <c r="F154" s="25" t="n"/>
      <c r="G154" s="25" t="n"/>
      <c r="H154" s="25" t="n"/>
    </row>
    <row r="155" ht="10" customHeight="1"/>
    <row r="156" ht="24" customHeight="1">
      <c r="B156" s="99" t="inlineStr">
        <is>
          <t>G · COMPARAÇÃO VISUAL</t>
        </is>
      </c>
      <c r="C156" s="99" t="n"/>
      <c r="D156" s="99" t="n"/>
      <c r="E156" s="99" t="n"/>
      <c r="F156" s="99" t="n"/>
      <c r="G156" s="99" t="n"/>
      <c r="H156" s="99" t="n"/>
    </row>
    <row r="157" ht="15" customHeight="1">
      <c r="E157" s="110" t="inlineStr">
        <is>
          <t>Dados do gráfico (atualizam sozinhos)</t>
        </is>
      </c>
      <c r="F157" s="110" t="n"/>
      <c r="G157" s="110" t="n"/>
      <c r="H157" s="110" t="n"/>
    </row>
    <row r="158" ht="15" customHeight="1">
      <c r="E158" s="65" t="inlineStr">
        <is>
          <t>Entrada</t>
        </is>
      </c>
      <c r="F158" s="65" t="n"/>
      <c r="G158" s="111">
        <f>IF($L$81,$G$135,"")</f>
        <v>100</v>
      </c>
      <c r="H158" s="112" t="str">
        <f>$G$134</f>
        <v>kg/dia</v>
      </c>
    </row>
    <row r="159" ht="15" customHeight="1">
      <c r="E159" s="65" t="inlineStr">
        <is>
          <t>Saída</t>
        </is>
      </c>
      <c r="F159" s="65" t="n"/>
      <c r="G159" s="111">
        <f>IF($L$81,$G$136,"")</f>
        <v>20</v>
      </c>
      <c r="H159" s="112" t="str">
        <f>$G$134</f>
        <v>kg/dia</v>
      </c>
    </row>
    <row r="160" ht="15" customHeight="1">
      <c r="E160" s="65" t="inlineStr">
        <is>
          <t>Geração</t>
        </is>
      </c>
      <c r="F160" s="65" t="n"/>
      <c r="G160" s="111">
        <f>IF($L$81,$G$137,"")</f>
        <v>0</v>
      </c>
      <c r="H160" s="112" t="str">
        <f>$G$134</f>
        <v>kg/dia</v>
      </c>
    </row>
    <row r="161" ht="15" customHeight="1">
      <c r="E161" s="65" t="inlineStr">
        <is>
          <t>Consumo</t>
        </is>
      </c>
      <c r="F161" s="65" t="n"/>
      <c r="G161" s="111">
        <f>IF($L$81,$G$138,"")</f>
        <v>0</v>
      </c>
      <c r="H161" s="112" t="str">
        <f>$G$134</f>
        <v>kg/dia</v>
      </c>
    </row>
    <row r="162" ht="15" customHeight="1">
      <c r="E162" s="65" t="inlineStr">
        <is>
          <t>Acúmulo</t>
        </is>
      </c>
      <c r="F162" s="65" t="n"/>
      <c r="G162" s="111">
        <f>IF($L$81,$L$76,"")</f>
        <v>80</v>
      </c>
      <c r="H162" s="112" t="str">
        <f>$G$134</f>
        <v>kg/dia</v>
      </c>
    </row>
    <row r="163" ht="15" customHeight="1"/>
    <row r="164" ht="15" customHeight="1">
      <c r="E164" s="113" t="inlineStr">
        <is>
          <t>O gráfico usa os mesmos resultados do card verde. Mude um dado e veja as barras mudarem.</t>
        </is>
      </c>
      <c r="F164" s="113" t="n"/>
      <c r="G164" s="113" t="n"/>
      <c r="H164" s="113" t="n"/>
    </row>
    <row r="165" ht="15" customHeight="1">
      <c r="E165" s="113" t="n"/>
      <c r="F165" s="113" t="n"/>
      <c r="G165" s="113" t="n"/>
      <c r="H165" s="113" t="n"/>
    </row>
    <row r="166" ht="15" customHeight="1">
      <c r="E166" s="113" t="n"/>
      <c r="F166" s="113" t="n"/>
      <c r="G166" s="113" t="n"/>
      <c r="H166" s="113" t="n"/>
    </row>
    <row r="167" ht="15" customHeight="1"/>
    <row r="168" ht="15" customHeight="1"/>
    <row r="169" ht="15" customHeight="1"/>
    <row r="170" ht="15" customHeight="1"/>
    <row r="171" ht="10" customHeight="1"/>
    <row r="172" ht="24" customHeight="1">
      <c r="B172" s="99" t="inlineStr">
        <is>
          <t>F · EXEMPLO E ORIENTAÇÃO</t>
        </is>
      </c>
      <c r="C172" s="99" t="n"/>
      <c r="D172" s="99" t="n"/>
      <c r="E172" s="99" t="n"/>
      <c r="F172" s="99" t="n"/>
      <c r="G172" s="99" t="n"/>
      <c r="H172" s="99" t="n"/>
    </row>
    <row r="173" ht="71" customHeight="1">
      <c r="B173" s="64" t="inlineStr">
        <is>
          <t>Exemplos desta ferramenta</t>
        </is>
      </c>
      <c r="C173" s="25" t="inlineStr">
        <is>
          <t>Exemplo 01: Um tanque recebe 100 kg/dia de sólidos e descarta 20 kg/dia. Não há geração nem consumo. Quanto lodo se acumula por dia?
Exemplo 02: Uma lagoa recebe 50 kg/dia de DBO, libera 10 kg/dia no efluente e degrada 45 kg/dia por ação biológica. O que acontece com a massa de DBO na lagoa?
Escolha o exemplo na lista Cenário para ver a resolução completa.</t>
        </is>
      </c>
      <c r="D173" s="25" t="n"/>
      <c r="E173" s="25" t="n"/>
      <c r="F173" s="25" t="n"/>
      <c r="G173" s="25" t="n"/>
      <c r="H173" s="25" t="n"/>
    </row>
    <row r="174" ht="19" customHeight="1">
      <c r="B174" s="64" t="inlineStr">
        <is>
          <t>Como interpretar</t>
        </is>
      </c>
      <c r="C174" s="25" t="inlineStr">
        <is>
          <t>Acúmulo positivo: a massa cresce. Zero: está estável. Negativo: a massa diminui.</t>
        </is>
      </c>
      <c r="D174" s="25" t="n"/>
      <c r="E174" s="25" t="n"/>
      <c r="F174" s="25" t="n"/>
      <c r="G174" s="25" t="n"/>
      <c r="H174" s="25" t="n"/>
    </row>
    <row r="175" ht="19" customHeight="1">
      <c r="B175" s="101" t="inlineStr">
        <is>
          <t>⚠ Erro comum</t>
        </is>
      </c>
      <c r="C175" s="102" t="inlineStr">
        <is>
          <t>Misturar unidades, como entrada em kg/dia e saída em g/s. Converta todos os termos antes de calcular.</t>
        </is>
      </c>
      <c r="D175" s="102" t="n"/>
      <c r="E175" s="102" t="n"/>
      <c r="F175" s="102" t="n"/>
      <c r="G175" s="102" t="n"/>
      <c r="H175" s="102" t="n"/>
    </row>
    <row r="176" ht="19" customHeight="1">
      <c r="B176" s="103" t="inlineStr">
        <is>
          <t>💡 Dica prática</t>
        </is>
      </c>
      <c r="C176" s="104" t="inlineStr">
        <is>
          <t>Em regime permanente o acúmulo é zero. Muitos exercícios usam isso para descobrir um termo desconhecido.</t>
        </is>
      </c>
      <c r="D176" s="104" t="n"/>
      <c r="E176" s="104" t="n"/>
      <c r="F176" s="104" t="n"/>
      <c r="G176" s="104" t="n"/>
      <c r="H176" s="104" t="n"/>
    </row>
    <row r="177" ht="14" customHeight="1"/>
    <row r="178" ht="14" customHeight="1"/>
    <row r="179" ht="30" customHeight="1">
      <c r="B179" s="33" t="inlineStr">
        <is>
          <t>Lembrete: os resultados são cálculos teóricos de apoio ao estudo. Confira unidades e hipóteses antes de usar em trabalhos, relatórios ou no estágio.</t>
        </is>
      </c>
      <c r="C179" s="33" t="n"/>
      <c r="D179" s="33" t="n"/>
      <c r="E179" s="33" t="n"/>
      <c r="F179" s="33" t="n"/>
      <c r="G179" s="33" t="n"/>
      <c r="H179" s="3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23">
    <mergeCell ref="B127:H127"/>
    <mergeCell ref="C99:H99"/>
    <mergeCell ref="C9:H9"/>
    <mergeCell ref="E142:F142"/>
    <mergeCell ref="B24:H24"/>
    <mergeCell ref="F17:H17"/>
    <mergeCell ref="B73:G73"/>
    <mergeCell ref="C46:H46"/>
    <mergeCell ref="E145:H145"/>
    <mergeCell ref="B129:H129"/>
    <mergeCell ref="C150:H150"/>
    <mergeCell ref="C48:H48"/>
    <mergeCell ref="C153:H153"/>
    <mergeCell ref="E164:H166"/>
    <mergeCell ref="B66:H66"/>
    <mergeCell ref="E105:F105"/>
    <mergeCell ref="B27:H27"/>
    <mergeCell ref="B140:H140"/>
    <mergeCell ref="C13:H13"/>
    <mergeCell ref="E88:H88"/>
    <mergeCell ref="E51:H51"/>
    <mergeCell ref="B2:H2"/>
    <mergeCell ref="E36:F36"/>
    <mergeCell ref="C154:H154"/>
    <mergeCell ref="D142:D145"/>
    <mergeCell ref="C15:H15"/>
    <mergeCell ref="D89:D92"/>
    <mergeCell ref="E91:F91"/>
    <mergeCell ref="B179:H179"/>
    <mergeCell ref="B132:H132"/>
    <mergeCell ref="E157:H157"/>
    <mergeCell ref="E53:F53"/>
    <mergeCell ref="B172:H172"/>
    <mergeCell ref="B21:G21"/>
    <mergeCell ref="B103:H103"/>
    <mergeCell ref="C3:D3"/>
    <mergeCell ref="E3:F3"/>
    <mergeCell ref="C121:H121"/>
    <mergeCell ref="C10:H10"/>
    <mergeCell ref="C41:H41"/>
    <mergeCell ref="C93:H93"/>
    <mergeCell ref="C173:H173"/>
    <mergeCell ref="B88:D88"/>
    <mergeCell ref="D36:D39"/>
    <mergeCell ref="E38:F38"/>
    <mergeCell ref="B79:H79"/>
    <mergeCell ref="E161:F161"/>
    <mergeCell ref="E109:H111"/>
    <mergeCell ref="K1:L1"/>
    <mergeCell ref="B7:H7"/>
    <mergeCell ref="B36:C39"/>
    <mergeCell ref="C122:H122"/>
    <mergeCell ref="C67:H67"/>
    <mergeCell ref="C19:H19"/>
    <mergeCell ref="B96:H96"/>
    <mergeCell ref="E90:F90"/>
    <mergeCell ref="B43:H43"/>
    <mergeCell ref="C69:H69"/>
    <mergeCell ref="B141:D141"/>
    <mergeCell ref="C14:H14"/>
    <mergeCell ref="C98:H98"/>
    <mergeCell ref="E104:H104"/>
    <mergeCell ref="C147:H147"/>
    <mergeCell ref="B34:H34"/>
    <mergeCell ref="C77:D77"/>
    <mergeCell ref="B74:H74"/>
    <mergeCell ref="C146:H146"/>
    <mergeCell ref="C40:H40"/>
    <mergeCell ref="E160:F160"/>
    <mergeCell ref="E25:H25"/>
    <mergeCell ref="E52:F52"/>
    <mergeCell ref="E92:F92"/>
    <mergeCell ref="B5:H5"/>
    <mergeCell ref="E39:F39"/>
    <mergeCell ref="B76:H76"/>
    <mergeCell ref="E107:F107"/>
    <mergeCell ref="C123:H123"/>
    <mergeCell ref="E143:F143"/>
    <mergeCell ref="E56:H58"/>
    <mergeCell ref="C120:H120"/>
    <mergeCell ref="E130:H130"/>
    <mergeCell ref="C8:H8"/>
    <mergeCell ref="E158:F158"/>
    <mergeCell ref="E141:H141"/>
    <mergeCell ref="C174:H174"/>
    <mergeCell ref="B89:C92"/>
    <mergeCell ref="B35:D35"/>
    <mergeCell ref="E89:F89"/>
    <mergeCell ref="C68:H68"/>
    <mergeCell ref="E162:F162"/>
    <mergeCell ref="C175:H175"/>
    <mergeCell ref="E54:F54"/>
    <mergeCell ref="C45:H45"/>
    <mergeCell ref="B87:H87"/>
    <mergeCell ref="C97:H97"/>
    <mergeCell ref="C100:H100"/>
    <mergeCell ref="C94:H94"/>
    <mergeCell ref="C152:H152"/>
    <mergeCell ref="C47:H47"/>
    <mergeCell ref="C44:H44"/>
    <mergeCell ref="E106:F106"/>
    <mergeCell ref="E144:H144"/>
    <mergeCell ref="C176:H176"/>
    <mergeCell ref="B50:H50"/>
    <mergeCell ref="C25:D25"/>
    <mergeCell ref="C70:H70"/>
    <mergeCell ref="B142:C145"/>
    <mergeCell ref="C17:E17"/>
    <mergeCell ref="B156:H156"/>
    <mergeCell ref="B22:H22"/>
    <mergeCell ref="B149:H149"/>
    <mergeCell ref="C130:D130"/>
    <mergeCell ref="E35:H35"/>
    <mergeCell ref="B12:H12"/>
    <mergeCell ref="B126:G126"/>
    <mergeCell ref="C18:H18"/>
    <mergeCell ref="C101:H101"/>
    <mergeCell ref="C151:H151"/>
    <mergeCell ref="B119:H119"/>
    <mergeCell ref="B1:H1"/>
    <mergeCell ref="E37:F37"/>
    <mergeCell ref="E159:F159"/>
    <mergeCell ref="E77:H77"/>
  </mergeCells>
  <conditionalFormatting sqref="B21:H21">
    <cfRule type="expression" priority="1" dxfId="0" stopIfTrue="0">
      <formula>$L$3=1</formula>
    </cfRule>
  </conditionalFormatting>
  <conditionalFormatting sqref="C29:C32">
    <cfRule type="expression" priority="2" dxfId="1" stopIfTrue="0">
      <formula>$L$4=1</formula>
    </cfRule>
  </conditionalFormatting>
  <conditionalFormatting sqref="D29:D32">
    <cfRule type="expression" priority="3" dxfId="1" stopIfTrue="0">
      <formula>$L$4=2</formula>
    </cfRule>
  </conditionalFormatting>
  <conditionalFormatting sqref="E29:E32">
    <cfRule type="expression" priority="4" dxfId="2" stopIfTrue="0">
      <formula>$L$4=3</formula>
    </cfRule>
  </conditionalFormatting>
  <conditionalFormatting sqref="B36:C39">
    <cfRule type="expression" priority="5" dxfId="3" stopIfTrue="0">
      <formula>NOT($L$14)</formula>
    </cfRule>
  </conditionalFormatting>
  <conditionalFormatting sqref="C41:H41">
    <cfRule type="expression" priority="6" dxfId="4" stopIfTrue="0">
      <formula>$L$14</formula>
    </cfRule>
    <cfRule type="expression" priority="7" dxfId="5" stopIfTrue="0">
      <formula>NOT($L$14)</formula>
    </cfRule>
  </conditionalFormatting>
  <conditionalFormatting sqref="B73:H73">
    <cfRule type="expression" priority="8" dxfId="0" stopIfTrue="0">
      <formula>$L$3=2</formula>
    </cfRule>
  </conditionalFormatting>
  <conditionalFormatting sqref="C81:C85">
    <cfRule type="expression" priority="9" dxfId="1" stopIfTrue="0">
      <formula>$L$36=1</formula>
    </cfRule>
  </conditionalFormatting>
  <conditionalFormatting sqref="D81:D85">
    <cfRule type="expression" priority="10" dxfId="1" stopIfTrue="0">
      <formula>$L$36=2</formula>
    </cfRule>
  </conditionalFormatting>
  <conditionalFormatting sqref="E81:E85">
    <cfRule type="expression" priority="11" dxfId="2" stopIfTrue="0">
      <formula>$L$36=3</formula>
    </cfRule>
  </conditionalFormatting>
  <conditionalFormatting sqref="B89:C92">
    <cfRule type="expression" priority="12" dxfId="3" stopIfTrue="0">
      <formula>NOT($L$49)</formula>
    </cfRule>
  </conditionalFormatting>
  <conditionalFormatting sqref="C94:H94">
    <cfRule type="expression" priority="13" dxfId="4" stopIfTrue="0">
      <formula>$L$49</formula>
    </cfRule>
    <cfRule type="expression" priority="14" dxfId="5" stopIfTrue="0">
      <formula>NOT($L$49)</formula>
    </cfRule>
  </conditionalFormatting>
  <conditionalFormatting sqref="B126:H126">
    <cfRule type="expression" priority="15" dxfId="0" stopIfTrue="0">
      <formula>$L$3=3</formula>
    </cfRule>
  </conditionalFormatting>
  <conditionalFormatting sqref="C134:C138">
    <cfRule type="expression" priority="16" dxfId="1" stopIfTrue="0">
      <formula>$L$75=1</formula>
    </cfRule>
  </conditionalFormatting>
  <conditionalFormatting sqref="D134:D138">
    <cfRule type="expression" priority="17" dxfId="1" stopIfTrue="0">
      <formula>$L$75=2</formula>
    </cfRule>
  </conditionalFormatting>
  <conditionalFormatting sqref="E134:E138">
    <cfRule type="expression" priority="18" dxfId="2" stopIfTrue="0">
      <formula>$L$75=3</formula>
    </cfRule>
  </conditionalFormatting>
  <conditionalFormatting sqref="B142:C145">
    <cfRule type="expression" priority="19" dxfId="3" stopIfTrue="0">
      <formula>NOT($L$81)</formula>
    </cfRule>
  </conditionalFormatting>
  <conditionalFormatting sqref="C147:H147">
    <cfRule type="expression" priority="20" dxfId="4" stopIfTrue="0">
      <formula>$L$81</formula>
    </cfRule>
    <cfRule type="expression" priority="21" dxfId="5" stopIfTrue="0">
      <formula>NOT($L$81)</formula>
    </cfRule>
  </conditionalFormatting>
  <conditionalFormatting sqref="C19:H19">
    <cfRule type="expression" priority="22" dxfId="4" stopIfTrue="0">
      <formula>IFERROR(CHOOSE($L$3,$L$14,$L$49,$L$81),FALSE)</formula>
    </cfRule>
    <cfRule type="expression" priority="23" dxfId="5" stopIfTrue="0">
      <formula>NOT(IFERROR(CHOOSE($L$3,$L$14,$L$49,$L$81),FALSE))</formula>
    </cfRule>
  </conditionalFormatting>
  <dataValidations count="18">
    <dataValidation sqref="C17" showDropDown="0" showInputMessage="1" showErrorMessage="1" allowBlank="1" errorTitle="Opção inválida" error="Escolha uma ferramenta da lista." promptTitle="Escolha a ferramenta" prompt="A ferramenta escolhida fica destacada em verde e o resultado dela aparece aqui ao lado." type="list">
      <formula1>"Ferramenta 1: Mistura de duas correntes,Ferramenta 2: Balanço em decantadores,Ferramenta 3: Acúmulo de massa"</formula1>
    </dataValidation>
    <dataValidation sqref="C25" showDropDown="0" showInputMessage="1" showErrorMessage="1" allowBlank="1" errorTitle="Opção inválida" error="Escolha Exemplo 01, Exemplo 02 ou Meu cálculo." promptTitle="Escolha o cenário" prompt="Exemplo 01 e Exemplo 02 usam dados prontos. Meu cálculo usa os valores que você digitar na coluna amarela MEU CÁLCULO." type="list">
      <formula1>"Exemplo 01,Exemplo 02,Meu cálculo"</formula1>
    </dataValidation>
    <dataValidation sqref="E29" showDropDown="0" showInputMessage="1" showErrorMessage="1" allowBlank="1" errorTitle="Valor inválido" error="Digite um número maior ou igual a zero, sem a unidade. Use vírgula para decimais (ex.: 0,5)." promptTitle="Vazão da corrente 1" prompt="Vazão da primeira corrente. Ex.: 120" type="decimal" operator="greaterThanOrEqual">
      <formula1>0</formula1>
    </dataValidation>
    <dataValidation sqref="E30" showDropDown="0" showInputMessage="1" showErrorMessage="1" allowBlank="1" errorTitle="Valor inválido" error="Digite um número maior ou igual a zero, sem a unidade. Use vírgula para decimais (ex.: 0,5)." promptTitle="Concentração da corrente 1" prompt="Concentração da primeira corrente. Ex.: 200" type="decimal" operator="greaterThanOrEqual">
      <formula1>0</formula1>
    </dataValidation>
    <dataValidation sqref="E31" showDropDown="0" showInputMessage="1" showErrorMessage="1" allowBlank="1" errorTitle="Valor inválido" error="Digite um número maior ou igual a zero, sem a unidade. Use vírgula para decimais (ex.: 0,5)." promptTitle="Vazão da corrente 2" prompt="Vazão da segunda corrente. Ex.: 80" type="decimal" operator="greaterThanOrEqual">
      <formula1>0</formula1>
    </dataValidation>
    <dataValidation sqref="E32" showDropDown="0" showInputMessage="1" showErrorMessage="1" allowBlank="1" errorTitle="Valor inválido" error="Digite um número maior ou igual a zero, sem a unidade. Use vírgula para decimais (ex.: 0,5)." promptTitle="Concentração da corrente 2" prompt="Concentração da segunda corrente. Ex.: 50" type="decimal" operator="greaterThanOrEqual">
      <formula1>0</formula1>
    </dataValidation>
    <dataValidation sqref="C77" showDropDown="0" showInputMessage="1" showErrorMessage="1" allowBlank="1" errorTitle="Opção inválida" error="Escolha Exemplo 01, Exemplo 02 ou Meu cálculo." promptTitle="Escolha o cenário" prompt="Exemplo 01 e Exemplo 02 usam dados prontos. Meu cálculo usa os valores que você digitar na coluna amarela MEU CÁLCULO." type="list">
      <formula1>"Exemplo 01,Exemplo 02,Meu cálculo"</formula1>
    </dataValidation>
    <dataValidation sqref="E81" showDropDown="0" showInputMessage="1" showErrorMessage="1" allowBlank="1" errorTitle="Valor inválido" error="Digite um número maior ou igual a zero, sem a unidade. Use vírgula para decimais (ex.: 0,5)." promptTitle="Vazão de entrada (Qe)" prompt="Vazão que entra no decantador. Ex.: 500" type="decimal" operator="greaterThanOrEqual">
      <formula1>0</formula1>
    </dataValidation>
    <dataValidation sqref="E82" showDropDown="0" showInputMessage="1" showErrorMessage="1" allowBlank="1" errorTitle="Valor inválido" error="Digite um número maior ou igual a zero, sem a unidade. Use vírgula para decimais (ex.: 0,5)." promptTitle="Concentração de entrada (Ce)" prompt="Sólidos na entrada. Ex.: 180" type="decimal" operator="greaterThanOrEqual">
      <formula1>0</formula1>
    </dataValidation>
    <dataValidation sqref="E83" showDropDown="0" showInputMessage="1" showErrorMessage="1" allowBlank="1" errorTitle="Valor inválido" error="Digite um número maior ou igual a zero, sem a unidade. Use vírgula para decimais (ex.: 0,5)." promptTitle="Vazão do clarificado (Qa)" prompt="Vazão que sai por cima. Ex.: 490" type="decimal" operator="greaterThanOrEqual">
      <formula1>0</formula1>
    </dataValidation>
    <dataValidation sqref="E84" showDropDown="0" showInputMessage="1" showErrorMessage="1" allowBlank="1" errorTitle="Valor inválido" error="Digite um número maior ou igual a zero, sem a unidade. Use vírgula para decimais (ex.: 0,5)." promptTitle="Concentração do clarificado (Ca)" prompt="Sólidos no clarificado. Ex.: 30" type="decimal" operator="greaterThanOrEqual">
      <formula1>0</formula1>
    </dataValidation>
    <dataValidation sqref="E85" showDropDown="0" showInputMessage="1" showErrorMessage="1" allowBlank="1" errorTitle="Valor inválido" error="Digite um número maior ou igual a zero, sem a unidade. Use vírgula para decimais (ex.: 0,5)." promptTitle="Vazão de lodo (Ql)" prompt="Vazão de lodo retirada pelo fundo. Ex.: 10" type="decimal" operator="greaterThanOrEqual">
      <formula1>0</formula1>
    </dataValidation>
    <dataValidation sqref="C130" showDropDown="0" showInputMessage="1" showErrorMessage="1" allowBlank="1" errorTitle="Opção inválida" error="Escolha Exemplo 01, Exemplo 02 ou Meu cálculo." promptTitle="Escolha o cenário" prompt="Exemplo 01 e Exemplo 02 usam dados prontos. Meu cálculo usa os valores que você digitar na coluna amarela MEU CÁLCULO." type="list">
      <formula1>"Exemplo 01,Exemplo 02,Meu cálculo"</formula1>
    </dataValidation>
    <dataValidation sqref="E134" showDropDown="0" showInputMessage="1" showErrorMessage="1" allowBlank="1" errorTitle="Opção inválida" error="Escolha uma opção da lista." promptTitle="Unidade dos termos" prompt="Todos os termos abaixo devem estar nesta mesma unidade." type="list">
      <formula1>"kg/dia,g/dia,kg/h,g/s,t/ano"</formula1>
    </dataValidation>
    <dataValidation sqref="E135" showDropDown="0" showInputMessage="1" showErrorMessage="1" allowBlank="1" errorTitle="Valor inválido" error="Digite um número maior ou igual a zero, sem a unidade. Use vírgula para decimais (ex.: 0,5)." promptTitle="Entrada" prompt="Massa que entra por unidade de tempo. Ex.: 100" type="decimal" operator="greaterThanOrEqual">
      <formula1>0</formula1>
    </dataValidation>
    <dataValidation sqref="E136" showDropDown="0" showInputMessage="1" showErrorMessage="1" allowBlank="1" errorTitle="Valor inválido" error="Digite um número maior ou igual a zero, sem a unidade. Use vírgula para decimais (ex.: 0,5)." promptTitle="Saída" prompt="Massa que sai por unidade de tempo. Ex.: 20" type="decimal" operator="greaterThanOrEqual">
      <formula1>0</formula1>
    </dataValidation>
    <dataValidation sqref="E137" showDropDown="0" showInputMessage="1" showErrorMessage="1" allowBlank="1" errorTitle="Valor inválido" error="Digite um número maior ou igual a zero, sem a unidade. Use vírgula para decimais (ex.: 0,5)." promptTitle="Geração interna" prompt="Massa produzida dentro do sistema. Digite 0 se não houver." type="decimal" operator="greaterThanOrEqual">
      <formula1>0</formula1>
    </dataValidation>
    <dataValidation sqref="E138" showDropDown="0" showInputMessage="1" showErrorMessage="1" allowBlank="1" errorTitle="Valor inválido" error="Digite um número maior ou igual a zero, sem a unidade. Use vírgula para decimais (ex.: 0,5)." promptTitle="Consumo ou transformação" prompt="Massa consumida ou degradada. Digite 0 se não houver." type="decimal" operator="greaterThanOrEqual">
      <formula1>0</formula1>
    </dataValidation>
  </dataValidations>
  <hyperlinks>
    <hyperlink ref="B3" location="'00 — Painel Inicial'!A1" tooltip="Ir para 00 — Painel Inicial" display="🏠  Painel"/>
    <hyperlink ref="C3" location="'01 — Comece Aqui'!A1" tooltip="Ir para 01 — Comece Aqui" display="📘  Guia"/>
    <hyperlink ref="E3" location="'08 — Exemplos Resolvidos'!A1" tooltip="Ir para 08 — Exemplos Resolvidos" display="📚  Exemplos"/>
    <hyperlink ref="G3" location="'04 — Eficiência de Tratamento'!A1" tooltip="Ir para 04 — Eficiência de Tratamento" display="◀ Anterior"/>
    <hyperlink ref="H3" location="'06 — Diluição de Soluções'!A1" tooltip="Ir para 06 — Diluição de Soluções" display="Próxima aba ▶"/>
    <hyperlink ref="B13" location="'05 — Balanço de Massa'!B21" tooltip="Ir para 05 — Balanço de Massa" display="▶ Ferramenta 1"/>
    <hyperlink ref="B14" location="'05 — Balanço de Massa'!B73" tooltip="Ir para 05 — Balanço de Massa" display="▶ Ferramenta 2"/>
    <hyperlink ref="B15" location="'05 — Balanço de Massa'!B126" tooltip="Ir para 05 — Balanço de Massa" display="▶ Ferramenta 3"/>
    <hyperlink ref="H21" location="'05 — Balanço de Massa'!A1" tooltip="Ir para 05 — Balanço de Massa" display="▲ Voltar ao topo"/>
    <hyperlink ref="H73" location="'05 — Balanço de Massa'!A1" tooltip="Ir para 05 — Balanço de Massa" display="▲ Voltar ao topo"/>
    <hyperlink ref="H126" location="'05 — Balanço de Massa'!A1" tooltip="Ir para 05 — Balanço de Massa" display="▲ Voltar ao topo"/>
  </hyperlinks>
  <pageMargins left="0.4" right="0.4" top="0.5" bottom="0.5" header="0.5" footer="0.5"/>
  <pageSetup orientation="portrait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0808C"/>
    <outlinePr summaryBelow="1" summaryRight="1"/>
    <pageSetUpPr fitToPage="1"/>
  </sheetPr>
  <dimension ref="A1:L76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4" customWidth="1" min="5" max="5"/>
    <col width="10" customWidth="1" min="6" max="6"/>
    <col width="13" customWidth="1" min="7" max="7"/>
    <col width="36" customWidth="1" min="8" max="8"/>
    <col width="2" customWidth="1" min="9" max="9"/>
    <col width="4" customWidth="1" min="10" max="10"/>
    <col width="34" customWidth="1" min="11" max="11"/>
    <col width="18" customWidth="1" min="12" max="12"/>
  </cols>
  <sheetData>
    <row r="1" ht="40" customHeight="1">
      <c r="A1" s="118" t="n"/>
      <c r="B1" s="36" t="inlineStr">
        <is>
          <t>🧪  CALCULADORA 05  ·  DILUIÇÃO DE SOLUÇÕES</t>
        </is>
      </c>
      <c r="C1" s="36" t="n"/>
      <c r="D1" s="36" t="n"/>
      <c r="E1" s="36" t="n"/>
      <c r="F1" s="36" t="n"/>
      <c r="G1" s="36" t="n"/>
      <c r="H1" s="36" t="n"/>
      <c r="I1" s="118" t="n"/>
      <c r="K1" s="57" t="inlineStr">
        <is>
          <t>ÁREA TÉCNICA · cálculos auxiliares (não editar)</t>
        </is>
      </c>
      <c r="L1" s="57" t="n"/>
    </row>
    <row r="2" ht="18" customHeight="1">
      <c r="A2" s="118" t="n"/>
      <c r="B2" s="37" t="inlineStr">
        <is>
          <t>KIT DE 6 CALCULADORAS AUTOMÁTICAS DE ENGENHARIA AMBIENTAL</t>
        </is>
      </c>
      <c r="C2" s="37" t="n"/>
      <c r="D2" s="37" t="n"/>
      <c r="E2" s="37" t="n"/>
      <c r="F2" s="37" t="n"/>
      <c r="G2" s="37" t="n"/>
      <c r="H2" s="37" t="n"/>
      <c r="I2" s="118" t="n"/>
      <c r="K2" s="58" t="inlineStr">
        <is>
          <t>Descrição</t>
        </is>
      </c>
      <c r="L2" s="59" t="inlineStr">
        <is>
          <t>Valor</t>
        </is>
      </c>
    </row>
    <row r="3" ht="26" customHeight="1">
      <c r="B3" s="38" t="inlineStr">
        <is>
          <t>🏠  Painel</t>
        </is>
      </c>
      <c r="C3" s="38" t="inlineStr">
        <is>
          <t>📘  Guia</t>
        </is>
      </c>
      <c r="D3" s="38" t="n"/>
      <c r="E3" s="38" t="inlineStr">
        <is>
          <t>📚  Exemplos</t>
        </is>
      </c>
      <c r="F3" s="38" t="n"/>
      <c r="G3" s="60" t="inlineStr">
        <is>
          <t>◀ Anterior</t>
        </is>
      </c>
      <c r="H3" s="60" t="inlineStr">
        <is>
          <t>Próxima aba ▶</t>
        </is>
      </c>
      <c r="K3" s="61" t="inlineStr">
        <is>
          <t>índice do cenário (1, 2 ou 3)</t>
        </is>
      </c>
      <c r="L3" s="61">
        <f>IFERROR(MATCH($C$19,{"Exemplo 01","Exemplo 02","Meu cálculo"},0),0)</f>
        <v>1</v>
      </c>
    </row>
    <row r="4" ht="10" customHeight="1">
      <c r="K4" s="61" t="inlineStr">
        <is>
          <t>[Diluição de soluções] m</t>
        </is>
      </c>
      <c r="L4" s="61">
        <f>IFERROR(IFERROR(MATCH($G$23,{"V₁ (volume de estoque)","C₂ (concentração final)","V₂ (volume final)","C₁ (concentração do estoque)"},0),0),"")</f>
        <v>1</v>
      </c>
    </row>
    <row r="5" ht="32" customHeight="1">
      <c r="B5" s="62" t="inlineStr">
        <is>
          <t>COMO USAR:   ① Escolha o cenário na lista amarela   ② Para usar seus dados, escolha Meu cálculo e digite na coluna amarela MEU CÁLCULO   ③ Veja o resultado no card verde   ④ Confira a conta em ENTENDA O CÁLCULO</t>
        </is>
      </c>
      <c r="C5" s="62" t="n"/>
      <c r="D5" s="62" t="n"/>
      <c r="E5" s="62" t="n"/>
      <c r="F5" s="62" t="n"/>
      <c r="G5" s="62" t="n"/>
      <c r="H5" s="62" t="n"/>
      <c r="K5" s="61" t="inlineStr">
        <is>
          <t>[Diluição de soluções] ic1</t>
        </is>
      </c>
      <c r="L5" s="61">
        <f>IFERROR(MATCH($G$25,{"mg/L","g/L","µg/L","% (m/v)","mol/L","mmol/L"},0),"")</f>
        <v>1</v>
      </c>
    </row>
    <row r="6" ht="8" customHeight="1">
      <c r="K6" s="61" t="inlineStr">
        <is>
          <t>[Diluição de soluções] fc1</t>
        </is>
      </c>
      <c r="L6" s="61">
        <f>IFERROR(CHOOSE($L$5,1,1000,0.001,10000,1,0.001),"")</f>
        <v>1</v>
      </c>
    </row>
    <row r="7" ht="24" customHeight="1">
      <c r="B7" s="63" t="inlineStr">
        <is>
          <t>A · IDENTIFICAÇÃO</t>
        </is>
      </c>
      <c r="C7" s="63" t="n"/>
      <c r="D7" s="63" t="n"/>
      <c r="E7" s="63" t="n"/>
      <c r="F7" s="63" t="n"/>
      <c r="G7" s="63" t="n"/>
      <c r="H7" s="63" t="n"/>
      <c r="K7" s="61" t="inlineStr">
        <is>
          <t>[Diluição de soluções] fam1</t>
        </is>
      </c>
      <c r="L7" s="61">
        <f>IFERROR(CHOOSE($L$5,1,1,1,1,2,2),"")</f>
        <v>1</v>
      </c>
    </row>
    <row r="8" ht="32" customHeight="1">
      <c r="B8" s="64" t="inlineStr">
        <is>
          <t>O que calcula</t>
        </is>
      </c>
      <c r="C8" s="25" t="inlineStr">
        <is>
          <t>Volume de estoque, concentração final, volume final ou concentração do estoque, usando C₁ × V₁ = C₂ × V₂.</t>
        </is>
      </c>
      <c r="D8" s="25" t="n"/>
      <c r="E8" s="25" t="n"/>
      <c r="F8" s="25" t="n"/>
      <c r="G8" s="25" t="n"/>
      <c r="H8" s="25" t="n"/>
      <c r="K8" s="61" t="inlineStr">
        <is>
          <t>[Diluição de soluções] ic2</t>
        </is>
      </c>
      <c r="L8" s="61">
        <f>IFERROR(MATCH($G$29,{"mg/L","g/L","µg/L","% (m/v)","mol/L","mmol/L"},0),"")</f>
        <v>1</v>
      </c>
    </row>
    <row r="9" ht="32" customHeight="1">
      <c r="B9" s="64" t="inlineStr">
        <is>
          <t>Quando usar</t>
        </is>
      </c>
      <c r="C9" s="25" t="inlineStr">
        <is>
          <t>Preparo de padrões e curvas de calibração, diluição de amostras para análises (DBO, DQO, metais) e aulas de laboratório.</t>
        </is>
      </c>
      <c r="D9" s="25" t="n"/>
      <c r="E9" s="25" t="n"/>
      <c r="F9" s="25" t="n"/>
      <c r="G9" s="25" t="n"/>
      <c r="H9" s="25" t="n"/>
      <c r="K9" s="61" t="inlineStr">
        <is>
          <t>[Diluição de soluções] fc2</t>
        </is>
      </c>
      <c r="L9" s="61">
        <f>IFERROR(CHOOSE($L$8,1,1000,0.001,10000,1,0.001),"")</f>
        <v>1</v>
      </c>
    </row>
    <row r="10" ht="19" customHeight="1">
      <c r="B10" s="64" t="inlineStr">
        <is>
          <t>Exemplo prático</t>
        </is>
      </c>
      <c r="C10" s="25" t="inlineStr">
        <is>
          <t>Para preparar 500 mL a 200 mg/L com um padrão de 1.000 mg/L, use 100 mL do padrão e complete até 500 mL.</t>
        </is>
      </c>
      <c r="D10" s="25" t="n"/>
      <c r="E10" s="25" t="n"/>
      <c r="F10" s="25" t="n"/>
      <c r="G10" s="25" t="n"/>
      <c r="H10" s="25" t="n"/>
      <c r="K10" s="61" t="inlineStr">
        <is>
          <t>[Diluição de soluções] fam2</t>
        </is>
      </c>
      <c r="L10" s="61">
        <f>IFERROR(CHOOSE($L$8,1,1,1,1,2,2),"")</f>
        <v>1</v>
      </c>
    </row>
    <row r="11" ht="10" customHeight="1">
      <c r="K11" s="61" t="inlineStr">
        <is>
          <t>[Diluição de soluções] fv1</t>
        </is>
      </c>
      <c r="L11" s="61">
        <f>IFERROR(CHOOSE(MATCH($G$27,{"mL","L","µL"},0),1,1000,0.001),"")</f>
        <v>1</v>
      </c>
    </row>
    <row r="12" ht="24" customHeight="1">
      <c r="B12" s="63" t="inlineStr">
        <is>
          <t>COMO ESTA CALCULADORA FUNCIONA</t>
        </is>
      </c>
      <c r="C12" s="63" t="n"/>
      <c r="D12" s="63" t="n"/>
      <c r="E12" s="63" t="n"/>
      <c r="F12" s="63" t="n"/>
      <c r="G12" s="63" t="n"/>
      <c r="H12" s="63" t="n"/>
      <c r="K12" s="61" t="inlineStr">
        <is>
          <t>[Diluição de soluções] fv2</t>
        </is>
      </c>
      <c r="L12" s="61">
        <f>IFERROR(CHOOSE(MATCH($G$31,{"mL","L","µL"},0),1,1000,0.001),"")</f>
        <v>1</v>
      </c>
    </row>
    <row r="13" ht="29.4" customHeight="1">
      <c r="B13" s="38" t="inlineStr">
        <is>
          <t>▶ Ir para o cálculo</t>
        </is>
      </c>
      <c r="C13" s="65" t="inlineStr">
        <is>
          <t>Diluição: C₁ × V₁ = C₂ × V₂: Escolha o que deseja encontrar. A variável escolhida é calculada e o valor digitado nela é ignorado. Cada concentração e cada volume tem sua própria unidade.</t>
        </is>
      </c>
      <c r="D13" s="65" t="n"/>
      <c r="E13" s="65" t="n"/>
      <c r="F13" s="65" t="n"/>
      <c r="G13" s="65" t="n"/>
      <c r="H13" s="65" t="n"/>
      <c r="K13" s="61" t="inlineStr">
        <is>
          <t>[Diluição de soluções] c1b</t>
        </is>
      </c>
      <c r="L13" s="61">
        <f>IFERROR(IF($L$4=4,"",$G$24*$L$6),"")</f>
        <v>1000</v>
      </c>
    </row>
    <row r="14" ht="14" customHeight="1">
      <c r="K14" s="61" t="inlineStr">
        <is>
          <t>[Diluição de soluções] v1b</t>
        </is>
      </c>
      <c r="L14" s="61" t="str">
        <f>IFERROR(IF($L$4=1,"",$G$26*$L$11),"")</f>
        <v/>
      </c>
    </row>
    <row r="15" ht="30" customHeight="1">
      <c r="B15" s="72" t="inlineStr">
        <is>
          <t>DILUIÇÃO: C₁ × V₁ = C₂ × V₂</t>
        </is>
      </c>
      <c r="C15" s="72" t="n"/>
      <c r="D15" s="72" t="n"/>
      <c r="E15" s="72" t="n"/>
      <c r="F15" s="72" t="n"/>
      <c r="G15" s="72" t="n"/>
      <c r="H15" s="73" t="inlineStr">
        <is>
          <t>▲ Voltar ao topo</t>
        </is>
      </c>
      <c r="K15" s="61" t="inlineStr">
        <is>
          <t>[Diluição de soluções] c2b</t>
        </is>
      </c>
      <c r="L15" s="61">
        <f>IFERROR(IF($L$4=2,"",$G$28*$L$9),"")</f>
        <v>200</v>
      </c>
    </row>
    <row r="16" ht="32" customHeight="1">
      <c r="B16" s="74" t="inlineStr">
        <is>
          <t>Escolha o que deseja encontrar. A variável escolhida é calculada e o valor digitado nela é ignorado. Cada concentração e cada volume tem sua própria unidade.</t>
        </is>
      </c>
      <c r="C16" s="74" t="n"/>
      <c r="D16" s="74" t="n"/>
      <c r="E16" s="74" t="n"/>
      <c r="F16" s="74" t="n"/>
      <c r="G16" s="74" t="n"/>
      <c r="H16" s="74" t="n"/>
      <c r="K16" s="61" t="inlineStr">
        <is>
          <t>[Diluição de soluções] v2b</t>
        </is>
      </c>
      <c r="L16" s="61">
        <f>IFERROR(IF($L$4=3,"",$G$30*$L$12),"")</f>
        <v>500</v>
      </c>
    </row>
    <row r="17" ht="6" customHeight="1">
      <c r="K17" s="61" t="inlineStr">
        <is>
          <t>[Diluição de soluções] rb</t>
        </is>
      </c>
      <c r="L17" s="61">
        <f>IFERROR(CHOOSE($L$4,$L$15*$L$16/$L$13,$L$13*$L$14/$L$16,$L$13*$L$14/$L$15,$L$15*$L$16/$L$14),"")</f>
        <v>100</v>
      </c>
    </row>
    <row r="18" ht="20" customHeight="1">
      <c r="B18" s="75" t="inlineStr">
        <is>
          <t>B · ESCOLHA DO CENÁRIO</t>
        </is>
      </c>
      <c r="C18" s="75" t="n"/>
      <c r="D18" s="75" t="n"/>
      <c r="E18" s="75" t="n"/>
      <c r="F18" s="75" t="n"/>
      <c r="G18" s="75" t="n"/>
      <c r="H18" s="75" t="n"/>
      <c r="K18" s="61" t="inlineStr">
        <is>
          <t>[Diluição de soluções] r</t>
        </is>
      </c>
      <c r="L18" s="61">
        <f>IFERROR(CHOOSE($L$4,$L$17/$L$11,$L$17/$L$9,$L$17/$L$12,$L$17/$L$6),"")</f>
        <v>100</v>
      </c>
    </row>
    <row r="19" ht="30" customHeight="1">
      <c r="B19" s="47" t="inlineStr">
        <is>
          <t>Cenário  ▼</t>
        </is>
      </c>
      <c r="C19" s="76" t="inlineStr">
        <is>
          <t>Exemplo 01</t>
        </is>
      </c>
      <c r="D19" s="77" t="n"/>
      <c r="E19" s="68" t="inlineStr">
        <is>
          <t>Exemplo 01 e Exemplo 02 usam dados prontos. Meu cálculo usa os valores que você digitar na coluna amarela.</t>
        </is>
      </c>
      <c r="F19" s="68" t="n"/>
      <c r="G19" s="68" t="n"/>
      <c r="H19" s="68" t="n"/>
      <c r="K19" s="61" t="inlineStr">
        <is>
          <t>[Diluição de soluções] C1f</t>
        </is>
      </c>
      <c r="L19" s="61">
        <f>IFERROR(IF($L$4=4,$L$17,$L$13),"")</f>
        <v>1000</v>
      </c>
    </row>
    <row r="20" ht="6" customHeight="1">
      <c r="K20" s="61" t="inlineStr">
        <is>
          <t>[Diluição de soluções] V1f</t>
        </is>
      </c>
      <c r="L20" s="61">
        <f>IFERROR(IF($L$4=1,$L$17,$L$14),"")</f>
        <v>100</v>
      </c>
    </row>
    <row r="21" ht="20" customHeight="1">
      <c r="B21" s="75" t="inlineStr">
        <is>
          <t>C · DADOS DE ENTRADA</t>
        </is>
      </c>
      <c r="C21" s="75" t="n"/>
      <c r="D21" s="75" t="n"/>
      <c r="E21" s="75" t="n"/>
      <c r="F21" s="75" t="n"/>
      <c r="G21" s="75" t="n"/>
      <c r="H21" s="75" t="n"/>
      <c r="K21" s="61" t="inlineStr">
        <is>
          <t>[Diluição de soluções] C2f</t>
        </is>
      </c>
      <c r="L21" s="61">
        <f>IFERROR(IF($L$4=2,$L$17,$L$15),"")</f>
        <v>200</v>
      </c>
    </row>
    <row r="22" ht="22" customHeight="1">
      <c r="B22" s="78" t="inlineStr">
        <is>
          <t>Variável</t>
        </is>
      </c>
      <c r="C22" s="78" t="inlineStr">
        <is>
          <t>Exemplo 01</t>
        </is>
      </c>
      <c r="D22" s="78" t="inlineStr">
        <is>
          <t>Exemplo 02</t>
        </is>
      </c>
      <c r="E22" s="79" t="inlineStr">
        <is>
          <t>MEU CÁLCULO</t>
        </is>
      </c>
      <c r="F22" s="78" t="inlineStr">
        <is>
          <t>Unidade</t>
        </is>
      </c>
      <c r="G22" s="80" t="inlineStr">
        <is>
          <t>Valor em uso</t>
        </is>
      </c>
      <c r="H22" s="78" t="inlineStr">
        <is>
          <t>Orientação de preenchimento</t>
        </is>
      </c>
      <c r="K22" s="61" t="inlineStr">
        <is>
          <t>[Diluição de soluções] V2f</t>
        </is>
      </c>
      <c r="L22" s="61">
        <f>IFERROR(IF($L$4=3,$L$17,$L$16),"")</f>
        <v>500</v>
      </c>
    </row>
    <row r="23" ht="22" customHeight="1">
      <c r="B23" s="47" t="inlineStr">
        <is>
          <t>O que deseja encontrar?</t>
        </is>
      </c>
      <c r="C23" s="81" t="inlineStr">
        <is>
          <t>V₁ (volume de estoque)</t>
        </is>
      </c>
      <c r="D23" s="81" t="inlineStr">
        <is>
          <t>C₂ (concentração final)</t>
        </is>
      </c>
      <c r="E23" s="82" t="inlineStr">
        <is>
          <t>V₁ (volume de estoque)</t>
        </is>
      </c>
      <c r="F23" s="83" t="inlineStr">
        <is>
          <t>lista ▼</t>
        </is>
      </c>
      <c r="G23" s="84" t="str">
        <f>IF($L$3=1,C23,IF($L$3=2,D23,IF($L$3=3,IF(E23="","",E23),"")))</f>
        <v>V₁ (volume de estoque)</v>
      </c>
      <c r="H23" s="85" t="inlineStr">
        <is>
          <t>Escolha a incógnita do problema.</t>
        </is>
      </c>
      <c r="K23" s="61" t="inlineStr">
        <is>
          <t>[Diluição de soluções] C1u</t>
        </is>
      </c>
      <c r="L23" s="61">
        <f>IFERROR($L$19/$L$6,"")</f>
        <v>1000</v>
      </c>
    </row>
    <row r="24" ht="29.4" customHeight="1">
      <c r="B24" s="47" t="inlineStr">
        <is>
          <t>C₁: concentração do estoque</t>
        </is>
      </c>
      <c r="C24" s="81" t="n">
        <v>1000</v>
      </c>
      <c r="D24" s="81" t="n">
        <v>1</v>
      </c>
      <c r="E24" s="82" t="n"/>
      <c r="F24" s="83" t="str">
        <f>$G$25</f>
        <v>mg/L</v>
      </c>
      <c r="G24" s="84">
        <f>IF(IFERROR(MATCH($G$23,{"V₁ (volume de estoque)","C₂ (concentração final)","V₂ (volume final)","C₁ (concentração do estoque)"},0),0)=4,"calculado ▼",IF($L$3=1,C24,IF($L$3=2,D24,IF($L$3=3,IF(E24="","",E24),""))))</f>
        <v>1000</v>
      </c>
      <c r="H24" s="85" t="inlineStr">
        <is>
          <t>Concentração da solução concentrada. Ex.: 1000</t>
        </is>
      </c>
      <c r="K24" s="61" t="inlineStr">
        <is>
          <t>[Diluição de soluções] V1u</t>
        </is>
      </c>
      <c r="L24" s="61">
        <f>IFERROR($L$20/$L$11,"")</f>
        <v>100</v>
      </c>
    </row>
    <row r="25" ht="22" customHeight="1">
      <c r="B25" s="47" t="inlineStr">
        <is>
          <t>Unidade de C₁</t>
        </is>
      </c>
      <c r="C25" s="81" t="inlineStr">
        <is>
          <t>mg/L</t>
        </is>
      </c>
      <c r="D25" s="81" t="inlineStr">
        <is>
          <t>g/L</t>
        </is>
      </c>
      <c r="E25" s="82" t="inlineStr">
        <is>
          <t>mg/L</t>
        </is>
      </c>
      <c r="F25" s="83" t="inlineStr">
        <is>
          <t>lista ▼</t>
        </is>
      </c>
      <c r="G25" s="84" t="str">
        <f>IF($L$3=1,C25,IF($L$3=2,D25,IF($L$3=3,IF(E25="","",E25),"")))</f>
        <v>mg/L</v>
      </c>
      <c r="H25" s="85" t="inlineStr">
        <is>
          <t>Unidade da concentração do estoque.</t>
        </is>
      </c>
      <c r="K25" s="61" t="inlineStr">
        <is>
          <t>[Diluição de soluções] C2u</t>
        </is>
      </c>
      <c r="L25" s="61">
        <f>IFERROR($L$21/$L$9,"")</f>
        <v>200</v>
      </c>
    </row>
    <row r="26" ht="29.4" customHeight="1">
      <c r="B26" s="47" t="inlineStr">
        <is>
          <t>V₁: volume do estoque</t>
        </is>
      </c>
      <c r="C26" s="81" t="inlineStr">
        <is>
          <t>—</t>
        </is>
      </c>
      <c r="D26" s="81" t="n">
        <v>5</v>
      </c>
      <c r="E26" s="82" t="n"/>
      <c r="F26" s="83" t="str">
        <f>$G$27</f>
        <v>mL</v>
      </c>
      <c r="G26" s="84" t="str">
        <f>IF(IFERROR(MATCH($G$23,{"V₁ (volume de estoque)","C₂ (concentração final)","V₂ (volume final)","C₁ (concentração do estoque)"},0),0)=1,"calculado ▼",IF($L$3=1,C26,IF($L$3=2,D26,IF($L$3=3,IF(E26="","",E26),""))))</f>
        <v>calculado ▼</v>
      </c>
      <c r="H26" s="85" t="inlineStr">
        <is>
          <t>Volume de estoque que será transferido. Ex.: 100</t>
        </is>
      </c>
      <c r="K26" s="61" t="inlineStr">
        <is>
          <t>[Diluição de soluções] V2u</t>
        </is>
      </c>
      <c r="L26" s="61">
        <f>IFERROR($L$22/$L$12,"")</f>
        <v>500</v>
      </c>
    </row>
    <row r="27" ht="22" customHeight="1">
      <c r="B27" s="47" t="inlineStr">
        <is>
          <t>Unidade de V₁</t>
        </is>
      </c>
      <c r="C27" s="81" t="inlineStr">
        <is>
          <t>mL</t>
        </is>
      </c>
      <c r="D27" s="81" t="inlineStr">
        <is>
          <t>mL</t>
        </is>
      </c>
      <c r="E27" s="82" t="inlineStr">
        <is>
          <t>mL</t>
        </is>
      </c>
      <c r="F27" s="83" t="inlineStr">
        <is>
          <t>lista ▼</t>
        </is>
      </c>
      <c r="G27" s="84" t="str">
        <f>IF($L$3=1,C27,IF($L$3=2,D27,IF($L$3=3,IF(E27="","",E27),"")))</f>
        <v>mL</v>
      </c>
      <c r="H27" s="85" t="inlineStr">
        <is>
          <t>Unidade do volume de estoque.</t>
        </is>
      </c>
      <c r="K27" s="61" t="inlineStr">
        <is>
          <t>[Diluição de soluções] solvml</t>
        </is>
      </c>
      <c r="L27" s="61">
        <f>IFERROR($L$22-$L$20,"")</f>
        <v>400</v>
      </c>
    </row>
    <row r="28" ht="29.4" customHeight="1">
      <c r="B28" s="47" t="inlineStr">
        <is>
          <t>C₂: concentração final</t>
        </is>
      </c>
      <c r="C28" s="81" t="n">
        <v>200</v>
      </c>
      <c r="D28" s="81" t="inlineStr">
        <is>
          <t>—</t>
        </is>
      </c>
      <c r="E28" s="82" t="n"/>
      <c r="F28" s="83" t="str">
        <f>$G$29</f>
        <v>mg/L</v>
      </c>
      <c r="G28" s="84">
        <f>IF(IFERROR(MATCH($G$23,{"V₁ (volume de estoque)","C₂ (concentração final)","V₂ (volume final)","C₁ (concentração do estoque)"},0),0)=2,"calculado ▼",IF($L$3=1,C28,IF($L$3=2,D28,IF($L$3=3,IF(E28="","",E28),""))))</f>
        <v>200</v>
      </c>
      <c r="H28" s="85" t="inlineStr">
        <is>
          <t>Concentração desejada na solução final. Ex.: 200</t>
        </is>
      </c>
      <c r="K28" s="61" t="inlineStr">
        <is>
          <t>[Diluição de soluções] solv</t>
        </is>
      </c>
      <c r="L28" s="61">
        <f>IFERROR($L$27/$L$12,"")</f>
        <v>400</v>
      </c>
    </row>
    <row r="29" ht="22" customHeight="1">
      <c r="B29" s="47" t="inlineStr">
        <is>
          <t>Unidade de C₂</t>
        </is>
      </c>
      <c r="C29" s="81" t="inlineStr">
        <is>
          <t>mg/L</t>
        </is>
      </c>
      <c r="D29" s="81" t="inlineStr">
        <is>
          <t>mg/L</t>
        </is>
      </c>
      <c r="E29" s="82" t="inlineStr">
        <is>
          <t>mg/L</t>
        </is>
      </c>
      <c r="F29" s="83" t="inlineStr">
        <is>
          <t>lista ▼</t>
        </is>
      </c>
      <c r="G29" s="84" t="str">
        <f>IF($L$3=1,C29,IF($L$3=2,D29,IF($L$3=3,IF(E29="","",E29),"")))</f>
        <v>mg/L</v>
      </c>
      <c r="H29" s="85" t="inlineStr">
        <is>
          <t>Unidade da concentração final.</t>
        </is>
      </c>
      <c r="K29" s="61" t="inlineStr">
        <is>
          <t>[Diluição de soluções] fd</t>
        </is>
      </c>
      <c r="L29" s="61">
        <f>IFERROR($L$19/$L$21,"")</f>
        <v>5</v>
      </c>
    </row>
    <row r="30" ht="22" customHeight="1">
      <c r="B30" s="47" t="inlineStr">
        <is>
          <t>V₂: volume final</t>
        </is>
      </c>
      <c r="C30" s="81" t="n">
        <v>500</v>
      </c>
      <c r="D30" s="81" t="n">
        <v>250</v>
      </c>
      <c r="E30" s="82" t="n"/>
      <c r="F30" s="83" t="str">
        <f>$G$31</f>
        <v>mL</v>
      </c>
      <c r="G30" s="84">
        <f>IF(IFERROR(MATCH($G$23,{"V₁ (volume de estoque)","C₂ (concentração final)","V₂ (volume final)","C₁ (concentração do estoque)"},0),0)=3,"calculado ▼",IF($L$3=1,C30,IF($L$3=2,D30,IF($L$3=3,IF(E30="","",E30),""))))</f>
        <v>500</v>
      </c>
      <c r="H30" s="85" t="inlineStr">
        <is>
          <t>Volume final da solução (balão). Ex.: 500</t>
        </is>
      </c>
      <c r="K30" s="61" t="inlineStr">
        <is>
          <t>[Diluição de soluções] bu</t>
        </is>
      </c>
      <c r="L30" s="61" t="str">
        <f>IFERROR(IF($L$7=1,"mg/L","mol/L"),"")</f>
        <v>mg/L</v>
      </c>
    </row>
    <row r="31" ht="22" customHeight="1">
      <c r="B31" s="47" t="inlineStr">
        <is>
          <t>Unidade de V₂</t>
        </is>
      </c>
      <c r="C31" s="81" t="inlineStr">
        <is>
          <t>mL</t>
        </is>
      </c>
      <c r="D31" s="81" t="inlineStr">
        <is>
          <t>mL</t>
        </is>
      </c>
      <c r="E31" s="82" t="inlineStr">
        <is>
          <t>mL</t>
        </is>
      </c>
      <c r="F31" s="83" t="inlineStr">
        <is>
          <t>lista ▼</t>
        </is>
      </c>
      <c r="G31" s="84" t="str">
        <f>IF($L$3=1,C31,IF($L$3=2,D31,IF($L$3=3,IF(E31="","",E31),"")))</f>
        <v>mL</v>
      </c>
      <c r="H31" s="85" t="inlineStr">
        <is>
          <t>Unidade do volume final.</t>
        </is>
      </c>
      <c r="K31" s="61" t="inlineStr">
        <is>
          <t>[Diluição de soluções] rlabel</t>
        </is>
      </c>
      <c r="L31" s="61" t="str">
        <f>IFERROR(CHOOSE($L$4,"VOLUME DE ESTOQUE (V₁)","CONCENTRAÇÃO FINAL (C₂)","VOLUME FINAL (V₂)","CONCENTRAÇÃO DO ESTOQUE (C₁)"),"")</f>
        <v>VOLUME DE ESTOQUE (V₁)</v>
      </c>
    </row>
    <row r="32" ht="8" customHeight="1">
      <c r="K32" s="61" t="inlineStr">
        <is>
          <t>[Diluição de soluções] rsym</t>
        </is>
      </c>
      <c r="L32" s="61" t="str">
        <f>IFERROR(CHOOSE($L$4,"V₁","C₂","V₂","C₁"),"")</f>
        <v>V₁</v>
      </c>
    </row>
    <row r="33" ht="24" customHeight="1">
      <c r="B33" s="86" t="inlineStr">
        <is>
          <t>D · RESULTADO AUTOMÁTICO</t>
        </is>
      </c>
      <c r="C33" s="86" t="n"/>
      <c r="D33" s="86" t="n"/>
      <c r="E33" s="86" t="n"/>
      <c r="F33" s="86" t="n"/>
      <c r="G33" s="86" t="n"/>
      <c r="H33" s="86" t="n"/>
      <c r="K33" s="61" t="inlineStr">
        <is>
          <t>[Diluição de soluções] runit</t>
        </is>
      </c>
      <c r="L33" s="61" t="str">
        <f>IFERROR(CHOOSE($L$4,$G$27,$G$29,$G$31,$G$25),"")</f>
        <v>mL</v>
      </c>
    </row>
    <row r="34" ht="22" customHeight="1">
      <c r="B34" s="87" t="str">
        <f>IF($L$35,$L$31,"RESULTADO")</f>
        <v>VOLUME DE ESTOQUE (V₁)</v>
      </c>
      <c r="C34" s="87" t="n"/>
      <c r="D34" s="87" t="n"/>
      <c r="E34" s="88" t="inlineStr">
        <is>
          <t>OUTROS RESULTADOS</t>
        </is>
      </c>
      <c r="F34" s="88" t="n"/>
      <c r="G34" s="88" t="n"/>
      <c r="H34" s="88" t="n"/>
      <c r="K34" s="61" t="inlineStr">
        <is>
          <t>[Diluição de soluções] mensagem de validação</t>
        </is>
      </c>
      <c r="L34" s="61" t="str">
        <f>IFERROR(IF($L$3=0,"Escolha um cenário na lista: Exemplo 01, Exemplo 02 ou Meu cálculo.",IF($L$4=0,"Escolha na lista o que você deseja encontrar.",IF($L$6="","Confira a unidade selecionada para C₁.",IF($L$11="","Confira a unidade selecionada para V₁.",IF($L$9="","Confira a unidade selecionada para C₂.",IF($L$12="","Confira a unidade selecionada para V₂.",IF($L$7&lt;&gt;$L$10,"Confira a unidade selecionada: C₁ e C₂ precisam ser do mesmo tipo (massa por volume ou mol por volume).",IF(AND(NOT($L$4=4),$G$24=""),"Informe a concentração do estoque (C₁) para continuar.",IF(AND(NOT($L$4=4),NOT(ISNUMBER($G$24))),"A concentração do estoque (C₁) precisa ser um número. Confira o valor digitado.",IF(AND(NOT($L$4=4),$G$24&lt;=0),"A concentração do estoque (C₁) deve ser maior que zero.",IF(AND(NOT($L$4=1),$G$26=""),"Informe o volume do estoque (V₁) para continuar.",IF(AND(NOT($L$4=1),NOT(ISNUMBER($G$26))),"O volume do estoque (V₁) precisa ser um número. Confira o valor digitado.",IF(AND(NOT($L$4=1),$G$26&lt;=0),"O volume do estoque (V₁) deve ser maior que zero.",IF(AND(NOT($L$4=2),$G$28=""),"Informe a concentração final (C₂) para continuar.",IF(AND(NOT($L$4=2),NOT(ISNUMBER($G$28))),"A concentração final (C₂) precisa ser um número. Confira o valor digitado.",IF(AND(NOT($L$4=2),$G$28&lt;=0),"A concentração final (C₂) deve ser maior que zero.",IF(AND(NOT($L$4=3),$G$30=""),"Informe o volume final (V₂) para continuar.",IF(AND(NOT($L$4=3),NOT(ISNUMBER($G$30))),"O volume final (V₂) precisa ser um número. Confira o valor digitado.",IF(AND(NOT($L$4=3),$G$30&lt;=0),"O volume final (V₂) deve ser maior que zero.",IF(AND(OR($L$4=1,$L$4=3),$L$15&gt;$L$13),"A concentração desejada é maior que a solução estoque. Em uma diluição simples, C₂ precisa ser menor ou igual a C₁.",IF(AND(OR($L$4=2,$L$4=4),$L$14&gt;$L$16),"O volume de estoque (V₁) não pode ser maior que o volume final (V₂).",""))))))))))))))))))))),"Resultado indisponível: existem dados inválidos.")</f>
        <v/>
      </c>
    </row>
    <row r="35" ht="21" customHeight="1">
      <c r="B35" s="89">
        <f>IF($L$35,$L$18,"—")</f>
        <v>100</v>
      </c>
      <c r="C35" s="90" t="n"/>
      <c r="D35" s="91" t="str">
        <f>IF($L$35,$L$33,"")</f>
        <v>mL</v>
      </c>
      <c r="E35" s="92" t="inlineStr">
        <is>
          <t>Solvente a adicionar</t>
        </is>
      </c>
      <c r="F35" s="92" t="n"/>
      <c r="G35" s="93">
        <f>IF($L$35,$L$28,"—")</f>
        <v>400</v>
      </c>
      <c r="H35" s="94" t="str">
        <f>$G$31</f>
        <v>mL</v>
      </c>
      <c r="K35" s="61" t="inlineStr">
        <is>
          <t>[Diluição de soluções] dados válidos?</t>
        </is>
      </c>
      <c r="L35" s="61" t="b">
        <f>$L$34=""</f>
        <v>1</v>
      </c>
    </row>
    <row r="36" ht="21" customHeight="1">
      <c r="B36" s="90" t="n"/>
      <c r="C36" s="90" t="n"/>
      <c r="D36" s="91" t="n"/>
      <c r="E36" s="92" t="inlineStr">
        <is>
          <t>Fator de diluição</t>
        </is>
      </c>
      <c r="F36" s="92" t="n"/>
      <c r="G36" s="93">
        <f>IF($L$35,$L$29,"—")</f>
        <v>5</v>
      </c>
      <c r="H36" s="94" t="inlineStr">
        <is>
          <t>vezes</t>
        </is>
      </c>
      <c r="K36" s="61" t="inlineStr">
        <is>
          <t>[Diluição de soluções] C1u (arredondado)</t>
        </is>
      </c>
      <c r="L36" s="61">
        <f>IFERROR(ROUND($L$23,IF($L$23=0,0,4-INT(LOG10(ABS($L$23))))),"")</f>
        <v>1000</v>
      </c>
    </row>
    <row r="37" ht="21" customHeight="1">
      <c r="B37" s="90" t="n"/>
      <c r="C37" s="90" t="n"/>
      <c r="D37" s="91" t="n"/>
      <c r="E37" s="92" t="inlineStr">
        <is>
          <t>Volume de estoque (V₁)</t>
        </is>
      </c>
      <c r="F37" s="92" t="n"/>
      <c r="G37" s="93">
        <f>IF($L$35,$L$24,"—")</f>
        <v>100</v>
      </c>
      <c r="H37" s="94" t="str">
        <f>$G$27</f>
        <v>mL</v>
      </c>
      <c r="K37" s="61" t="inlineStr">
        <is>
          <t>[Diluição de soluções] C1u (texto)</t>
        </is>
      </c>
      <c r="L37" s="61" t="str">
        <f>IF(ISNUMBER($L$36),FIXED($L$36,IF(ROUND($L$36,0)=$L$36,0,IF(ROUND($L$36,1)=$L$36,1,IF(ROUND($L$36,2)=$L$36,2,IF(ROUND($L$36,3)=$L$36,3,IF(ROUND($L$36,4)=$L$36,4,IF(ROUND($L$36,5)=$L$36,5,IF(ROUND($L$36,6)=$L$36,6,7)))))))),"?")</f>
        <v>1.000</v>
      </c>
    </row>
    <row r="38" ht="21" customHeight="1">
      <c r="B38" s="90" t="n"/>
      <c r="C38" s="90" t="n"/>
      <c r="D38" s="91" t="n"/>
      <c r="E38" s="92" t="inlineStr">
        <is>
          <t>Concentração final (C₂)</t>
        </is>
      </c>
      <c r="F38" s="92" t="n"/>
      <c r="G38" s="93">
        <f>IF($L$35,$L$25,"—")</f>
        <v>200</v>
      </c>
      <c r="H38" s="94" t="str">
        <f>$G$29</f>
        <v>mg/L</v>
      </c>
      <c r="K38" s="61" t="inlineStr">
        <is>
          <t>[Diluição de soluções] C2u (arredondado)</t>
        </is>
      </c>
      <c r="L38" s="61">
        <f>IFERROR(ROUND($L$25,IF($L$25=0,0,4-INT(LOG10(ABS($L$25))))),"")</f>
        <v>200</v>
      </c>
    </row>
    <row r="39" ht="34" customHeight="1">
      <c r="B39" s="96" t="inlineStr">
        <is>
          <t>Interpretação</t>
        </is>
      </c>
      <c r="C39" s="97" t="str">
        <f>IF($L$35,"Utilize "&amp;$L$41&amp;" "&amp;$G$27&amp;" da solução estoque e complete com solvente até atingir o volume final de "&amp;$L$43&amp;" "&amp;$G$31&amp;". A solução final terá concentração de "&amp;$L$39&amp;" "&amp;$G$29&amp;"."&amp;IF($L$4=4," A solução estoque precisa ter "&amp;$L$37&amp;" "&amp;$G$25&amp;".","")&amp;IF(ROUND($L$29,9)=1," Como C₁ = C₂, não há diluição.",""),"Resultado indisponível: corrija o item indicado em Status dos dados.")</f>
        <v>Utilize 100 mL da solução estoque e complete com solvente até atingir o volume final de 500 mL. A solução final terá concentração de 200 mg/L.</v>
      </c>
      <c r="D39" s="97" t="n"/>
      <c r="E39" s="97" t="n"/>
      <c r="F39" s="97" t="n"/>
      <c r="G39" s="97" t="n"/>
      <c r="H39" s="97" t="n"/>
      <c r="K39" s="61" t="inlineStr">
        <is>
          <t>[Diluição de soluções] C2u (texto)</t>
        </is>
      </c>
      <c r="L39" s="61" t="str">
        <f>IF(ISNUMBER($L$38),FIXED($L$38,IF(ROUND($L$38,0)=$L$38,0,IF(ROUND($L$38,1)=$L$38,1,IF(ROUND($L$38,2)=$L$38,2,IF(ROUND($L$38,3)=$L$38,3,IF(ROUND($L$38,4)=$L$38,4,IF(ROUND($L$38,5)=$L$38,5,IF(ROUND($L$38,6)=$L$38,6,7)))))))),"?")</f>
        <v>200</v>
      </c>
    </row>
    <row r="40" ht="34" customHeight="1">
      <c r="B40" s="96" t="inlineStr">
        <is>
          <t>Status dos dados</t>
        </is>
      </c>
      <c r="C40" s="98" t="str">
        <f>IF($L$35,"✔ Dados válidos. Resultado calculado automaticamente.","⚠ "&amp;$L$34)</f>
        <v>✔ Dados válidos. Resultado calculado automaticamente.</v>
      </c>
      <c r="D40" s="98" t="n"/>
      <c r="E40" s="98" t="n"/>
      <c r="F40" s="98" t="n"/>
      <c r="G40" s="98" t="n"/>
      <c r="H40" s="98" t="n"/>
      <c r="K40" s="61" t="inlineStr">
        <is>
          <t>[Diluição de soluções] V1u (arredondado)</t>
        </is>
      </c>
      <c r="L40" s="61">
        <f>IFERROR(ROUND($L$24,IF($L$24=0,0,4-INT(LOG10(ABS($L$24))))),"")</f>
        <v>100</v>
      </c>
    </row>
    <row r="41" ht="10" customHeight="1">
      <c r="K41" s="61" t="inlineStr">
        <is>
          <t>[Diluição de soluções] V1u (texto)</t>
        </is>
      </c>
      <c r="L41" s="61" t="str">
        <f>IF(ISNUMBER($L$40),FIXED($L$40,IF(ROUND($L$40,0)=$L$40,0,IF(ROUND($L$40,1)=$L$40,1,IF(ROUND($L$40,2)=$L$40,2,IF(ROUND($L$40,3)=$L$40,3,IF(ROUND($L$40,4)=$L$40,4,IF(ROUND($L$40,5)=$L$40,5,IF(ROUND($L$40,6)=$L$40,6,7)))))))),"?")</f>
        <v>100</v>
      </c>
    </row>
    <row r="42" ht="24" customHeight="1">
      <c r="B42" s="119" t="inlineStr">
        <is>
          <t>ESQUEMA DE PREPARO DA SOLUÇÃO</t>
        </is>
      </c>
      <c r="C42" s="119" t="n"/>
      <c r="D42" s="119" t="n"/>
      <c r="E42" s="119" t="n"/>
      <c r="F42" s="119" t="n"/>
      <c r="G42" s="119" t="n"/>
      <c r="H42" s="119" t="n"/>
      <c r="K42" s="61" t="inlineStr">
        <is>
          <t>[Diluição de soluções] V2u (arredondado)</t>
        </is>
      </c>
      <c r="L42" s="61">
        <f>IFERROR(ROUND($L$26,IF($L$26=0,0,4-INT(LOG10(ABS($L$26))))),"")</f>
        <v>500</v>
      </c>
    </row>
    <row r="43" ht="26" customHeight="1">
      <c r="B43" s="120" t="inlineStr">
        <is>
          <t>① SOLUÇÃO ESTOQUE  ➜</t>
        </is>
      </c>
      <c r="C43" s="121" t="inlineStr">
        <is>
          <t>② TRANSFERÊNCIA  ➜</t>
        </is>
      </c>
      <c r="D43" s="121" t="n"/>
      <c r="E43" s="122" t="inlineStr">
        <is>
          <t>③ DILUIÇÃO  ➜</t>
        </is>
      </c>
      <c r="F43" s="122" t="n"/>
      <c r="G43" s="122" t="n"/>
      <c r="H43" s="123" t="inlineStr">
        <is>
          <t>④ SOLUÇÃO FINAL</t>
        </is>
      </c>
      <c r="K43" s="61" t="inlineStr">
        <is>
          <t>[Diluição de soluções] V2u (texto)</t>
        </is>
      </c>
      <c r="L43" s="61" t="str">
        <f>IF(ISNUMBER($L$42),FIXED($L$42,IF(ROUND($L$42,0)=$L$42,0,IF(ROUND($L$42,1)=$L$42,1,IF(ROUND($L$42,2)=$L$42,2,IF(ROUND($L$42,3)=$L$42,3,IF(ROUND($L$42,4)=$L$42,4,IF(ROUND($L$42,5)=$L$42,5,IF(ROUND($L$42,6)=$L$42,6,7)))))))),"?")</f>
        <v>500</v>
      </c>
    </row>
    <row r="44" ht="58" customHeight="1">
      <c r="B44" s="124" t="str">
        <f>IF($L$35,"Frasco com C₁ = "&amp;$L$37&amp;" "&amp;$G$25,"—")</f>
        <v>Frasco com C₁ = 1.000 mg/L</v>
      </c>
      <c r="C44" s="124" t="str">
        <f>IF($L$35,"Retire "&amp;$L$41&amp;" "&amp;$G$27&amp;" da solução estoque com pipeta volumétrica","—")</f>
        <v>Retire 100 mL da solução estoque com pipeta volumétrica</v>
      </c>
      <c r="D44" s="124" t="n"/>
      <c r="E44" s="124" t="str">
        <f>IF($L$35,"Coloque no balão e complete com cerca de "&amp;$L$45&amp;" "&amp;$G$31&amp;" de solvente até a marca","—")</f>
        <v>Coloque no balão e complete com cerca de 400 mL de solvente até a marca</v>
      </c>
      <c r="F44" s="124" t="n"/>
      <c r="G44" s="124" t="n"/>
      <c r="H44" s="124" t="str">
        <f>IF($L$35,$L$43&amp;" "&amp;$G$31&amp;" de solução com C₂ = "&amp;$L$39&amp;" "&amp;$G$29,"—")</f>
        <v>500 mL de solução com C₂ = 200 mg/L</v>
      </c>
      <c r="K44" s="61" t="inlineStr">
        <is>
          <t>[Diluição de soluções] solv (arredondado)</t>
        </is>
      </c>
      <c r="L44" s="61">
        <f>IFERROR(ROUND($L$28,IF($L$28=0,0,4-INT(LOG10(ABS($L$28))))),"")</f>
        <v>400</v>
      </c>
    </row>
    <row r="45" ht="10" customHeight="1">
      <c r="K45" s="61" t="inlineStr">
        <is>
          <t>[Diluição de soluções] solv (texto)</t>
        </is>
      </c>
      <c r="L45" s="61" t="str">
        <f>IF(ISNUMBER($L$44),FIXED($L$44,IF(ROUND($L$44,0)=$L$44,0,IF(ROUND($L$44,1)=$L$44,1,IF(ROUND($L$44,2)=$L$44,2,IF(ROUND($L$44,3)=$L$44,3,IF(ROUND($L$44,4)=$L$44,4,IF(ROUND($L$44,5)=$L$44,5,IF(ROUND($L$44,6)=$L$44,6,7)))))))),"?")</f>
        <v>400</v>
      </c>
    </row>
    <row r="46" ht="24" customHeight="1">
      <c r="B46" s="99" t="inlineStr">
        <is>
          <t>E · ENTENDA O CÁLCULO</t>
        </is>
      </c>
      <c r="C46" s="99" t="n"/>
      <c r="D46" s="99" t="n"/>
      <c r="E46" s="99" t="n"/>
      <c r="F46" s="99" t="n"/>
      <c r="G46" s="99" t="n"/>
      <c r="H46" s="99" t="n"/>
      <c r="K46" s="61" t="inlineStr">
        <is>
          <t>[Diluição de soluções] C1 (arredondado)</t>
        </is>
      </c>
      <c r="L46" s="61">
        <f>IFERROR(ROUND($G$24,IF($G$24=0,0,4-INT(LOG10(ABS($G$24))))),"")</f>
        <v>1000</v>
      </c>
    </row>
    <row r="47" ht="26" customHeight="1">
      <c r="B47" s="64" t="inlineStr">
        <is>
          <t>Fórmula</t>
        </is>
      </c>
      <c r="C47" s="100" t="inlineStr">
        <is>
          <t>C₁ × V₁ = C₂ × V₂</t>
        </is>
      </c>
      <c r="D47" s="100" t="n"/>
      <c r="E47" s="100" t="n"/>
      <c r="F47" s="100" t="n"/>
      <c r="G47" s="100" t="n"/>
      <c r="H47" s="100" t="n"/>
      <c r="K47" s="61" t="inlineStr">
        <is>
          <t>[Diluição de soluções] C1 (texto)</t>
        </is>
      </c>
      <c r="L47" s="61" t="str">
        <f>IF(ISNUMBER($L$46),FIXED($L$46,IF(ROUND($L$46,0)=$L$46,0,IF(ROUND($L$46,1)=$L$46,1,IF(ROUND($L$46,2)=$L$46,2,IF(ROUND($L$46,3)=$L$46,3,IF(ROUND($L$46,4)=$L$46,4,IF(ROUND($L$46,5)=$L$46,5,IF(ROUND($L$46,6)=$L$46,6,7)))))))),"?")</f>
        <v>1.000</v>
      </c>
    </row>
    <row r="48" ht="32" customHeight="1">
      <c r="B48" s="64" t="inlineStr">
        <is>
          <t>O que é cada variável</t>
        </is>
      </c>
      <c r="C48" s="25" t="inlineStr">
        <is>
          <t>C₁ = concentração do estoque   |   V₁ = volume de estoque transferido   |   C₂ = concentração desejada   |   V₂ = volume final</t>
        </is>
      </c>
      <c r="D48" s="25" t="n"/>
      <c r="E48" s="25" t="n"/>
      <c r="F48" s="25" t="n"/>
      <c r="G48" s="25" t="n"/>
      <c r="H48" s="25" t="n"/>
      <c r="K48" s="61" t="inlineStr">
        <is>
          <t>[Diluição de soluções] C2 (arredondado)</t>
        </is>
      </c>
      <c r="L48" s="61">
        <f>IFERROR(ROUND($G$28,IF($G$28=0,0,4-INT(LOG10(ABS($G$28))))),"")</f>
        <v>200</v>
      </c>
    </row>
    <row r="49" ht="21" customHeight="1">
      <c r="B49" s="64" t="inlineStr">
        <is>
          <t>Valores inseridos</t>
        </is>
      </c>
      <c r="C49" s="25" t="str">
        <f>"C₁ = "&amp;IF($L$4=4,"? (a calcular)",$L$47&amp;" "&amp;$G$25)&amp;"   |   V₁ = "&amp;IF($L$4=1,"? (a calcular)",$L$51&amp;" "&amp;$G$27)&amp;"   |   C₂ = "&amp;IF($L$4=2,"? (a calcular)",$L$49&amp;" "&amp;$G$29)&amp;"   |   V₂ = "&amp;IF($L$4=3,"? (a calcular)",$L$53&amp;" "&amp;$G$31)</f>
        <v>C₁ = 1.000 mg/L   |   V₁ = ? (a calcular)   |   C₂ = 200 mg/L   |   V₂ = 500 mL</v>
      </c>
      <c r="D49" s="25" t="n"/>
      <c r="E49" s="25" t="n"/>
      <c r="F49" s="25" t="n"/>
      <c r="G49" s="25" t="n"/>
      <c r="H49" s="25" t="n"/>
      <c r="K49" s="61" t="inlineStr">
        <is>
          <t>[Diluição de soluções] C2 (texto)</t>
        </is>
      </c>
      <c r="L49" s="61" t="str">
        <f>IF(ISNUMBER($L$48),FIXED($L$48,IF(ROUND($L$48,0)=$L$48,0,IF(ROUND($L$48,1)=$L$48,1,IF(ROUND($L$48,2)=$L$48,2,IF(ROUND($L$48,3)=$L$48,3,IF(ROUND($L$48,4)=$L$48,4,IF(ROUND($L$48,5)=$L$48,5,IF(ROUND($L$48,6)=$L$48,6,7)))))))),"?")</f>
        <v>200</v>
      </c>
    </row>
    <row r="50" ht="34" customHeight="1">
      <c r="B50" s="64" t="inlineStr">
        <is>
          <t>Substituição</t>
        </is>
      </c>
      <c r="C50" s="25" t="str">
        <f>IF($L$35,CHOOSE($L$4,"V₁ = C₂ × V₂ ÷ C₁ = "&amp;$L$57&amp;" × "&amp;$L$61&amp;" ÷ "&amp;$L$55&amp;" = "&amp;$L$59&amp;" mL","C₂ = C₁ × V₁ ÷ V₂ = "&amp;$L$55&amp;" × "&amp;$L$59&amp;" ÷ "&amp;$L$61&amp;" = "&amp;$L$57&amp;" "&amp;$L$30,"V₂ = C₁ × V₁ ÷ C₂ = "&amp;$L$55&amp;" × "&amp;$L$59&amp;" ÷ "&amp;$L$57&amp;" = "&amp;$L$61&amp;" mL","C₁ = C₂ × V₂ ÷ V₁ = "&amp;$L$57&amp;" × "&amp;$L$61&amp;" ÷ "&amp;$L$59&amp;" = "&amp;$L$55&amp;" "&amp;$L$30)&amp;CHAR(10)&amp;"(concentrações em "&amp;$L$30&amp;" e volumes em mL)   →   "&amp;$L$32&amp;" = "&amp;$L$63&amp;" "&amp;$L$33,"Aguardando dados válidos para montar a conta.")</f>
        <v>V₁ = C₂ × V₂ ÷ C₁ = 200 × 500 ÷ 1.000 = 100 mL
(concentrações em mg/L e volumes em mL)   →   V₁ = 100 mL</v>
      </c>
      <c r="D50" s="25" t="n"/>
      <c r="E50" s="25" t="n"/>
      <c r="F50" s="25" t="n"/>
      <c r="G50" s="25" t="n"/>
      <c r="H50" s="25" t="n"/>
      <c r="K50" s="61" t="inlineStr">
        <is>
          <t>[Diluição de soluções] V1 (arredondado)</t>
        </is>
      </c>
      <c r="L50" s="61" t="str">
        <f>IFERROR(ROUND($G$26,IF($G$26=0,0,4-INT(LOG10(ABS($G$26))))),"")</f>
        <v/>
      </c>
    </row>
    <row r="51" ht="21" customHeight="1">
      <c r="B51" s="64" t="inlineStr">
        <is>
          <t>Resultado</t>
        </is>
      </c>
      <c r="C51" s="25" t="str">
        <f>IF($L$35,$L$32&amp;" = "&amp;$L$63&amp;" "&amp;$L$33&amp;"   |   Solvente a adicionar = "&amp;$L$45&amp;" "&amp;$G$31,"Aguardando dados válidos para montar a conta.")</f>
        <v>V₁ = 100 mL   |   Solvente a adicionar = 400 mL</v>
      </c>
      <c r="D51" s="25" t="n"/>
      <c r="E51" s="25" t="n"/>
      <c r="F51" s="25" t="n"/>
      <c r="G51" s="25" t="n"/>
      <c r="H51" s="25" t="n"/>
      <c r="K51" s="61" t="inlineStr">
        <is>
          <t>[Diluição de soluções] V1 (texto)</t>
        </is>
      </c>
      <c r="L51" s="61" t="str">
        <f>IF(ISNUMBER($L$50),FIXED($L$50,IF(ROUND($L$50,0)=$L$50,0,IF(ROUND($L$50,1)=$L$50,1,IF(ROUND($L$50,2)=$L$50,2,IF(ROUND($L$50,3)=$L$50,3,IF(ROUND($L$50,4)=$L$50,4,IF(ROUND($L$50,5)=$L$50,5,IF(ROUND($L$50,6)=$L$50,6,7)))))))),"?")</f>
        <v>?</v>
      </c>
    </row>
    <row r="52" ht="10" customHeight="1">
      <c r="K52" s="61" t="inlineStr">
        <is>
          <t>[Diluição de soluções] V2 (arredondado)</t>
        </is>
      </c>
      <c r="L52" s="61">
        <f>IFERROR(ROUND($G$30,IF($G$30=0,0,4-INT(LOG10(ABS($G$30))))),"")</f>
        <v>500</v>
      </c>
    </row>
    <row r="53" ht="24" customHeight="1">
      <c r="B53" s="99" t="inlineStr">
        <is>
          <t>G · COMPARAÇÃO VISUAL</t>
        </is>
      </c>
      <c r="C53" s="99" t="n"/>
      <c r="D53" s="99" t="n"/>
      <c r="E53" s="99" t="n"/>
      <c r="F53" s="99" t="n"/>
      <c r="G53" s="99" t="n"/>
      <c r="H53" s="99" t="n"/>
      <c r="K53" s="61" t="inlineStr">
        <is>
          <t>[Diluição de soluções] V2 (texto)</t>
        </is>
      </c>
      <c r="L53" s="61" t="str">
        <f>IF(ISNUMBER($L$52),FIXED($L$52,IF(ROUND($L$52,0)=$L$52,0,IF(ROUND($L$52,1)=$L$52,1,IF(ROUND($L$52,2)=$L$52,2,IF(ROUND($L$52,3)=$L$52,3,IF(ROUND($L$52,4)=$L$52,4,IF(ROUND($L$52,5)=$L$52,5,IF(ROUND($L$52,6)=$L$52,6,7)))))))),"?")</f>
        <v>500</v>
      </c>
    </row>
    <row r="54" ht="15" customHeight="1">
      <c r="E54" s="110" t="inlineStr">
        <is>
          <t>Dados do gráfico (atualizam sozinhos)</t>
        </is>
      </c>
      <c r="F54" s="110" t="n"/>
      <c r="G54" s="110" t="n"/>
      <c r="H54" s="110" t="n"/>
      <c r="K54" s="61" t="inlineStr">
        <is>
          <t>[Diluição de soluções] C1f (arredondado)</t>
        </is>
      </c>
      <c r="L54" s="61">
        <f>IFERROR(ROUND($L$19,IF($L$19=0,0,4-INT(LOG10(ABS($L$19))))),"")</f>
        <v>1000</v>
      </c>
    </row>
    <row r="55" ht="15" customHeight="1">
      <c r="E55" s="65" t="inlineStr">
        <is>
          <t>Solução estoque</t>
        </is>
      </c>
      <c r="F55" s="65" t="n"/>
      <c r="G55" s="111">
        <f>IF($L$35,$L$20,"")</f>
        <v>100</v>
      </c>
      <c r="H55" s="112" t="inlineStr">
        <is>
          <t>mL</t>
        </is>
      </c>
      <c r="K55" s="61" t="inlineStr">
        <is>
          <t>[Diluição de soluções] C1f (texto)</t>
        </is>
      </c>
      <c r="L55" s="61" t="str">
        <f>IF(ISNUMBER($L$54),FIXED($L$54,IF(ROUND($L$54,0)=$L$54,0,IF(ROUND($L$54,1)=$L$54,1,IF(ROUND($L$54,2)=$L$54,2,IF(ROUND($L$54,3)=$L$54,3,IF(ROUND($L$54,4)=$L$54,4,IF(ROUND($L$54,5)=$L$54,5,IF(ROUND($L$54,6)=$L$54,6,7)))))))),"?")</f>
        <v>1.000</v>
      </c>
    </row>
    <row r="56" ht="15" customHeight="1">
      <c r="E56" s="65" t="inlineStr">
        <is>
          <t>Solvente</t>
        </is>
      </c>
      <c r="F56" s="65" t="n"/>
      <c r="G56" s="111">
        <f>IF($L$35,$L$27,"")</f>
        <v>400</v>
      </c>
      <c r="H56" s="112" t="inlineStr">
        <is>
          <t>mL</t>
        </is>
      </c>
      <c r="K56" s="61" t="inlineStr">
        <is>
          <t>[Diluição de soluções] C2f (arredondado)</t>
        </is>
      </c>
      <c r="L56" s="61">
        <f>IFERROR(ROUND($L$21,IF($L$21=0,0,4-INT(LOG10(ABS($L$21))))),"")</f>
        <v>200</v>
      </c>
    </row>
    <row r="57" ht="15" customHeight="1">
      <c r="K57" s="61" t="inlineStr">
        <is>
          <t>[Diluição de soluções] C2f (texto)</t>
        </is>
      </c>
      <c r="L57" s="61" t="str">
        <f>IF(ISNUMBER($L$56),FIXED($L$56,IF(ROUND($L$56,0)=$L$56,0,IF(ROUND($L$56,1)=$L$56,1,IF(ROUND($L$56,2)=$L$56,2,IF(ROUND($L$56,3)=$L$56,3,IF(ROUND($L$56,4)=$L$56,4,IF(ROUND($L$56,5)=$L$56,5,IF(ROUND($L$56,6)=$L$56,6,7)))))))),"?")</f>
        <v>200</v>
      </c>
    </row>
    <row r="58" ht="15" customHeight="1">
      <c r="E58" s="113" t="inlineStr">
        <is>
          <t>O gráfico usa os mesmos resultados do card verde. Mude um dado e veja as barras mudarem.</t>
        </is>
      </c>
      <c r="F58" s="113" t="n"/>
      <c r="G58" s="113" t="n"/>
      <c r="H58" s="113" t="n"/>
      <c r="K58" s="61" t="inlineStr">
        <is>
          <t>[Diluição de soluções] V1f (arredondado)</t>
        </is>
      </c>
      <c r="L58" s="61">
        <f>IFERROR(ROUND($L$20,IF($L$20=0,0,4-INT(LOG10(ABS($L$20))))),"")</f>
        <v>100</v>
      </c>
    </row>
    <row r="59" ht="15" customHeight="1">
      <c r="E59" s="113" t="n"/>
      <c r="F59" s="113" t="n"/>
      <c r="G59" s="113" t="n"/>
      <c r="H59" s="113" t="n"/>
      <c r="K59" s="61" t="inlineStr">
        <is>
          <t>[Diluição de soluções] V1f (texto)</t>
        </is>
      </c>
      <c r="L59" s="61" t="str">
        <f>IF(ISNUMBER($L$58),FIXED($L$58,IF(ROUND($L$58,0)=$L$58,0,IF(ROUND($L$58,1)=$L$58,1,IF(ROUND($L$58,2)=$L$58,2,IF(ROUND($L$58,3)=$L$58,3,IF(ROUND($L$58,4)=$L$58,4,IF(ROUND($L$58,5)=$L$58,5,IF(ROUND($L$58,6)=$L$58,6,7)))))))),"?")</f>
        <v>100</v>
      </c>
    </row>
    <row r="60" ht="15" customHeight="1">
      <c r="E60" s="113" t="n"/>
      <c r="F60" s="113" t="n"/>
      <c r="G60" s="113" t="n"/>
      <c r="H60" s="113" t="n"/>
      <c r="K60" s="61" t="inlineStr">
        <is>
          <t>[Diluição de soluções] V2f (arredondado)</t>
        </is>
      </c>
      <c r="L60" s="61">
        <f>IFERROR(ROUND($L$22,IF($L$22=0,0,4-INT(LOG10(ABS($L$22))))),"")</f>
        <v>500</v>
      </c>
    </row>
    <row r="61" ht="15" customHeight="1">
      <c r="K61" s="61" t="inlineStr">
        <is>
          <t>[Diluição de soluções] V2f (texto)</t>
        </is>
      </c>
      <c r="L61" s="61" t="str">
        <f>IF(ISNUMBER($L$60),FIXED($L$60,IF(ROUND($L$60,0)=$L$60,0,IF(ROUND($L$60,1)=$L$60,1,IF(ROUND($L$60,2)=$L$60,2,IF(ROUND($L$60,3)=$L$60,3,IF(ROUND($L$60,4)=$L$60,4,IF(ROUND($L$60,5)=$L$60,5,IF(ROUND($L$60,6)=$L$60,6,7)))))))),"?")</f>
        <v>500</v>
      </c>
    </row>
    <row r="62" ht="15" customHeight="1">
      <c r="K62" s="61" t="inlineStr">
        <is>
          <t>[Diluição de soluções] r (arredondado)</t>
        </is>
      </c>
      <c r="L62" s="61">
        <f>IFERROR(ROUND($L$18,IF($L$18=0,0,4-INT(LOG10(ABS($L$18))))),"")</f>
        <v>100</v>
      </c>
    </row>
    <row r="63" ht="15" customHeight="1">
      <c r="K63" s="61" t="inlineStr">
        <is>
          <t>[Diluição de soluções] r (texto)</t>
        </is>
      </c>
      <c r="L63" s="61" t="str">
        <f>IF(ISNUMBER($L$62),FIXED($L$62,IF(ROUND($L$62,0)=$L$62,0,IF(ROUND($L$62,1)=$L$62,1,IF(ROUND($L$62,2)=$L$62,2,IF(ROUND($L$62,3)=$L$62,3,IF(ROUND($L$62,4)=$L$62,4,IF(ROUND($L$62,5)=$L$62,5,IF(ROUND($L$62,6)=$L$62,6,7)))))))),"?")</f>
        <v>100</v>
      </c>
    </row>
    <row r="64" ht="15" customHeight="1">
      <c r="K64" s="61" t="inlineStr">
        <is>
          <t>[Diluição de soluções] resumo</t>
        </is>
      </c>
      <c r="L64" s="61" t="str">
        <f>IF($L$35,$L$63&amp;" "&amp;$L$33,"—")</f>
        <v>100 mL</v>
      </c>
    </row>
    <row r="65" ht="15" customHeight="1"/>
    <row r="66" ht="15" customHeight="1"/>
    <row r="67" ht="15" customHeight="1"/>
    <row r="68" ht="10" customHeight="1"/>
    <row r="69" ht="24" customHeight="1">
      <c r="B69" s="99" t="inlineStr">
        <is>
          <t>F · EXEMPLO E ORIENTAÇÃO</t>
        </is>
      </c>
      <c r="C69" s="99" t="n"/>
      <c r="D69" s="99" t="n"/>
      <c r="E69" s="99" t="n"/>
      <c r="F69" s="99" t="n"/>
      <c r="G69" s="99" t="n"/>
      <c r="H69" s="99" t="n"/>
    </row>
    <row r="70" ht="71" customHeight="1">
      <c r="B70" s="64" t="inlineStr">
        <is>
          <t>Exemplos desta ferramenta</t>
        </is>
      </c>
      <c r="C70" s="25" t="inlineStr">
        <is>
          <t>Exemplo 01: No laboratório há uma solução padrão de 1.000 mg/L. Você precisa preparar 500 mL de uma solução com 200 mg/L. Quanto da solução padrão deve usar?
Exemplo 02: Foram transferidos 5 mL de uma solução de 1 g/L para um balão de 250 mL, completado com água destilada. Qual é a concentração final em mg/L?
Escolha o exemplo na lista Cenário para ver a resolução completa.</t>
        </is>
      </c>
      <c r="D70" s="25" t="n"/>
      <c r="E70" s="25" t="n"/>
      <c r="F70" s="25" t="n"/>
      <c r="G70" s="25" t="n"/>
      <c r="H70" s="25" t="n"/>
    </row>
    <row r="71" ht="32" customHeight="1">
      <c r="B71" s="64" t="inlineStr">
        <is>
          <t>Como interpretar</t>
        </is>
      </c>
      <c r="C71" s="25" t="inlineStr">
        <is>
          <t>V₁ é o quanto você retira do frasco de estoque. Depois, complete com solvente até a marca do volume final.</t>
        </is>
      </c>
      <c r="D71" s="25" t="n"/>
      <c r="E71" s="25" t="n"/>
      <c r="F71" s="25" t="n"/>
      <c r="G71" s="25" t="n"/>
      <c r="H71" s="25" t="n"/>
    </row>
    <row r="72" ht="32" customHeight="1">
      <c r="B72" s="101" t="inlineStr">
        <is>
          <t>⚠ Erro comum</t>
        </is>
      </c>
      <c r="C72" s="102" t="inlineStr">
        <is>
          <t>Usar volumes em unidades diferentes sem converter, ou pedir uma concentração final maior que a do estoque. Diluir sempre reduz a concentração.</t>
        </is>
      </c>
      <c r="D72" s="102" t="n"/>
      <c r="E72" s="102" t="n"/>
      <c r="F72" s="102" t="n"/>
      <c r="G72" s="102" t="n"/>
      <c r="H72" s="102" t="n"/>
    </row>
    <row r="73" ht="19" customHeight="1">
      <c r="B73" s="103" t="inlineStr">
        <is>
          <t>💡 Dica prática</t>
        </is>
      </c>
      <c r="C73" s="104" t="inlineStr">
        <is>
          <t>Use vidraria volumétrica (pipeta e balão volumétrico) para ter precisão. O volume de solvente é V₂ − V₁.</t>
        </is>
      </c>
      <c r="D73" s="104" t="n"/>
      <c r="E73" s="104" t="n"/>
      <c r="F73" s="104" t="n"/>
      <c r="G73" s="104" t="n"/>
      <c r="H73" s="104" t="n"/>
    </row>
    <row r="74" ht="14" customHeight="1"/>
    <row r="75" ht="14" customHeight="1"/>
    <row r="76" ht="30" customHeight="1">
      <c r="B76" s="33" t="inlineStr">
        <is>
          <t>Lembrete: os resultados são cálculos teóricos de apoio ao estudo. Confira unidades e hipóteses antes de usar em trabalhos, relatórios ou no estágio.</t>
        </is>
      </c>
      <c r="C76" s="33" t="n"/>
      <c r="D76" s="33" t="n"/>
      <c r="E76" s="33" t="n"/>
      <c r="F76" s="33" t="n"/>
      <c r="G76" s="33" t="n"/>
      <c r="H76" s="3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1">
    <mergeCell ref="C10:H10"/>
    <mergeCell ref="C47:H47"/>
    <mergeCell ref="C50:H50"/>
    <mergeCell ref="E55:F55"/>
    <mergeCell ref="C40:H40"/>
    <mergeCell ref="C9:H9"/>
    <mergeCell ref="E54:H54"/>
    <mergeCell ref="B33:H33"/>
    <mergeCell ref="B5:H5"/>
    <mergeCell ref="B76:H76"/>
    <mergeCell ref="B34:D34"/>
    <mergeCell ref="E35:F35"/>
    <mergeCell ref="C51:H51"/>
    <mergeCell ref="C71:H71"/>
    <mergeCell ref="E38:F38"/>
    <mergeCell ref="K1:L1"/>
    <mergeCell ref="C70:H70"/>
    <mergeCell ref="C39:H39"/>
    <mergeCell ref="C8:H8"/>
    <mergeCell ref="B16:H16"/>
    <mergeCell ref="C44:D44"/>
    <mergeCell ref="B7:H7"/>
    <mergeCell ref="C48:H48"/>
    <mergeCell ref="B15:G15"/>
    <mergeCell ref="E56:F56"/>
    <mergeCell ref="B46:H46"/>
    <mergeCell ref="C72:H72"/>
    <mergeCell ref="C43:D43"/>
    <mergeCell ref="E58:H60"/>
    <mergeCell ref="B18:H18"/>
    <mergeCell ref="C13:H13"/>
    <mergeCell ref="B21:H21"/>
    <mergeCell ref="B12:H12"/>
    <mergeCell ref="B2:H2"/>
    <mergeCell ref="B35:C38"/>
    <mergeCell ref="E36:F36"/>
    <mergeCell ref="C49:H49"/>
    <mergeCell ref="B42:H42"/>
    <mergeCell ref="E19:H19"/>
    <mergeCell ref="E43:G43"/>
    <mergeCell ref="B1:H1"/>
    <mergeCell ref="E34:H34"/>
    <mergeCell ref="B53:H53"/>
    <mergeCell ref="D35:D38"/>
    <mergeCell ref="C19:D19"/>
    <mergeCell ref="B69:H69"/>
    <mergeCell ref="E37:F37"/>
    <mergeCell ref="C73:H73"/>
    <mergeCell ref="E44:G44"/>
    <mergeCell ref="C3:D3"/>
    <mergeCell ref="E3:F3"/>
  </mergeCells>
  <conditionalFormatting sqref="C23:C31">
    <cfRule type="expression" priority="1" dxfId="1" stopIfTrue="0">
      <formula>$L$3=1</formula>
    </cfRule>
  </conditionalFormatting>
  <conditionalFormatting sqref="D23:D31">
    <cfRule type="expression" priority="2" dxfId="1" stopIfTrue="0">
      <formula>$L$3=2</formula>
    </cfRule>
  </conditionalFormatting>
  <conditionalFormatting sqref="E23:E31">
    <cfRule type="expression" priority="3" dxfId="2" stopIfTrue="0">
      <formula>$L$3=3</formula>
    </cfRule>
  </conditionalFormatting>
  <conditionalFormatting sqref="B24:H24">
    <cfRule type="expression" priority="4" dxfId="6" stopIfTrue="0">
      <formula>$L$4=4</formula>
    </cfRule>
  </conditionalFormatting>
  <conditionalFormatting sqref="B26:H26">
    <cfRule type="expression" priority="5" dxfId="6" stopIfTrue="0">
      <formula>$L$4=1</formula>
    </cfRule>
  </conditionalFormatting>
  <conditionalFormatting sqref="B28:H28">
    <cfRule type="expression" priority="6" dxfId="6" stopIfTrue="0">
      <formula>$L$4=2</formula>
    </cfRule>
  </conditionalFormatting>
  <conditionalFormatting sqref="B30:H30">
    <cfRule type="expression" priority="7" dxfId="6" stopIfTrue="0">
      <formula>$L$4=3</formula>
    </cfRule>
  </conditionalFormatting>
  <conditionalFormatting sqref="B35:C38">
    <cfRule type="expression" priority="8" dxfId="3" stopIfTrue="0">
      <formula>NOT($L$35)</formula>
    </cfRule>
  </conditionalFormatting>
  <conditionalFormatting sqref="C40:H40">
    <cfRule type="expression" priority="9" dxfId="4" stopIfTrue="0">
      <formula>$L$35</formula>
    </cfRule>
    <cfRule type="expression" priority="10" dxfId="5" stopIfTrue="0">
      <formula>NOT($L$35)</formula>
    </cfRule>
  </conditionalFormatting>
  <dataValidations count="10">
    <dataValidation sqref="C19" showDropDown="0" showInputMessage="1" showErrorMessage="1" allowBlank="1" errorTitle="Opção inválida" error="Escolha Exemplo 01, Exemplo 02 ou Meu cálculo." promptTitle="Escolha o cenário" prompt="Exemplo 01 e Exemplo 02 usam dados prontos. Meu cálculo usa os valores que você digitar na coluna amarela MEU CÁLCULO." type="list">
      <formula1>"Exemplo 01,Exemplo 02,Meu cálculo"</formula1>
    </dataValidation>
    <dataValidation sqref="E23" showDropDown="0" showInputMessage="1" showErrorMessage="1" allowBlank="1" errorTitle="Opção inválida" error="Escolha uma opção da lista." promptTitle="O que deseja encontrar?" prompt="Escolha a incógnita do problema." type="list">
      <formula1>"V₁ (volume de estoque),C₂ (concentração final),V₂ (volume final),C₁ (concentração do estoque)"</formula1>
    </dataValidation>
    <dataValidation sqref="E24" showDropDown="0" showInputMessage="1" showErrorMessage="1" allowBlank="1" errorTitle="Valor inválido" error="Digite um número maior ou igual a zero, sem a unidade. Use vírgula para decimais (ex.: 0,5)." promptTitle="C₁: concentração do estoque" prompt="Concentração da solução concentrada. Ex.: 1000" type="decimal" operator="greaterThanOrEqual">
      <formula1>0</formula1>
    </dataValidation>
    <dataValidation sqref="E25" showDropDown="0" showInputMessage="1" showErrorMessage="1" allowBlank="1" errorTitle="Opção inválida" error="Escolha uma opção da lista." promptTitle="Unidade de C₁" prompt="Unidade da concentração do estoque." type="list">
      <formula1>"mg/L,g/L,µg/L,% (m/v),mol/L,mmol/L"</formula1>
    </dataValidation>
    <dataValidation sqref="E26" showDropDown="0" showInputMessage="1" showErrorMessage="1" allowBlank="1" errorTitle="Valor inválido" error="Digite um número maior ou igual a zero, sem a unidade. Use vírgula para decimais (ex.: 0,5)." promptTitle="V₁: volume do estoque" prompt="Volume de estoque que será transferido. Ex.: 100" type="decimal" operator="greaterThanOrEqual">
      <formula1>0</formula1>
    </dataValidation>
    <dataValidation sqref="E27" showDropDown="0" showInputMessage="1" showErrorMessage="1" allowBlank="1" errorTitle="Opção inválida" error="Escolha uma opção da lista." promptTitle="Unidade de V₁" prompt="Unidade do volume de estoque." type="list">
      <formula1>"mL,L,µL"</formula1>
    </dataValidation>
    <dataValidation sqref="E28" showDropDown="0" showInputMessage="1" showErrorMessage="1" allowBlank="1" errorTitle="Valor inválido" error="Digite um número maior ou igual a zero, sem a unidade. Use vírgula para decimais (ex.: 0,5)." promptTitle="C₂: concentração final" prompt="Concentração desejada na solução final. Ex.: 200" type="decimal" operator="greaterThanOrEqual">
      <formula1>0</formula1>
    </dataValidation>
    <dataValidation sqref="E29" showDropDown="0" showInputMessage="1" showErrorMessage="1" allowBlank="1" errorTitle="Opção inválida" error="Escolha uma opção da lista." promptTitle="Unidade de C₂" prompt="Unidade da concentração final." type="list">
      <formula1>"mg/L,g/L,µg/L,% (m/v),mol/L,mmol/L"</formula1>
    </dataValidation>
    <dataValidation sqref="E30" showDropDown="0" showInputMessage="1" showErrorMessage="1" allowBlank="1" errorTitle="Valor inválido" error="Digite um número maior ou igual a zero, sem a unidade. Use vírgula para decimais (ex.: 0,5)." promptTitle="V₂: volume final" prompt="Volume final da solução (balão). Ex.: 500" type="decimal" operator="greaterThanOrEqual">
      <formula1>0</formula1>
    </dataValidation>
    <dataValidation sqref="E31" showDropDown="0" showInputMessage="1" showErrorMessage="1" allowBlank="1" errorTitle="Opção inválida" error="Escolha uma opção da lista." promptTitle="Unidade de V₂" prompt="Unidade do volume final." type="list">
      <formula1>"mL,L,µL"</formula1>
    </dataValidation>
  </dataValidations>
  <hyperlinks>
    <hyperlink ref="B3" location="'00 — Painel Inicial'!A1" tooltip="Ir para 00 — Painel Inicial" display="🏠  Painel"/>
    <hyperlink ref="C3" location="'01 — Comece Aqui'!A1" tooltip="Ir para 01 — Comece Aqui" display="📘  Guia"/>
    <hyperlink ref="E3" location="'08 — Exemplos Resolvidos'!A1" tooltip="Ir para 08 — Exemplos Resolvidos" display="📚  Exemplos"/>
    <hyperlink ref="G3" location="'05 — Balanço de Massa'!A1" tooltip="Ir para 05 — Balanço de Massa" display="◀ Anterior"/>
    <hyperlink ref="H3" location="'07 — Dosagem Química'!A1" tooltip="Ir para 07 — Dosagem Química" display="Próxima aba ▶"/>
    <hyperlink ref="B13" location="'06 — Diluição de Soluções'!B15" tooltip="Ir para 06 — Diluição de Soluções" display="▶ Ir para o cálculo"/>
    <hyperlink ref="H15" location="'06 — Diluição de Soluções'!A1" tooltip="Ir para 06 — Diluição de Soluções" display="▲ Voltar ao topo"/>
  </hyperlinks>
  <pageMargins left="0.4" right="0.4" top="0.5" bottom="0.5" header="0.5" footer="0.5"/>
  <pageSetup orientation="portrait" paperSize="9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B8860B"/>
    <outlinePr summaryBelow="1" summaryRight="1"/>
    <pageSetUpPr fitToPage="1"/>
  </sheetPr>
  <dimension ref="A1:L73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4" customWidth="1" min="5" max="5"/>
    <col width="10" customWidth="1" min="6" max="6"/>
    <col width="13" customWidth="1" min="7" max="7"/>
    <col width="36" customWidth="1" min="8" max="8"/>
    <col width="2" customWidth="1" min="9" max="9"/>
    <col width="4" customWidth="1" min="10" max="10"/>
    <col width="34" customWidth="1" min="11" max="11"/>
    <col width="18" customWidth="1" min="12" max="12"/>
  </cols>
  <sheetData>
    <row r="1" ht="40" customHeight="1">
      <c r="A1" s="125" t="n"/>
      <c r="B1" s="36" t="inlineStr">
        <is>
          <t>⚗️  CALCULADORA 06  ·  DOSAGEM DE PRODUTOS QUÍMICOS</t>
        </is>
      </c>
      <c r="C1" s="36" t="n"/>
      <c r="D1" s="36" t="n"/>
      <c r="E1" s="36" t="n"/>
      <c r="F1" s="36" t="n"/>
      <c r="G1" s="36" t="n"/>
      <c r="H1" s="36" t="n"/>
      <c r="I1" s="125" t="n"/>
      <c r="K1" s="57" t="inlineStr">
        <is>
          <t>ÁREA TÉCNICA · cálculos auxiliares (não editar)</t>
        </is>
      </c>
      <c r="L1" s="57" t="n"/>
    </row>
    <row r="2" ht="18" customHeight="1">
      <c r="A2" s="125" t="n"/>
      <c r="B2" s="37" t="inlineStr">
        <is>
          <t>KIT DE 6 CALCULADORAS AUTOMÁTICAS DE ENGENHARIA AMBIENTAL</t>
        </is>
      </c>
      <c r="C2" s="37" t="n"/>
      <c r="D2" s="37" t="n"/>
      <c r="E2" s="37" t="n"/>
      <c r="F2" s="37" t="n"/>
      <c r="G2" s="37" t="n"/>
      <c r="H2" s="37" t="n"/>
      <c r="I2" s="125" t="n"/>
      <c r="K2" s="58" t="inlineStr">
        <is>
          <t>Descrição</t>
        </is>
      </c>
      <c r="L2" s="59" t="inlineStr">
        <is>
          <t>Valor</t>
        </is>
      </c>
    </row>
    <row r="3" ht="26" customHeight="1">
      <c r="B3" s="38" t="inlineStr">
        <is>
          <t>🏠  Painel</t>
        </is>
      </c>
      <c r="C3" s="38" t="inlineStr">
        <is>
          <t>📘  Guia</t>
        </is>
      </c>
      <c r="D3" s="38" t="n"/>
      <c r="E3" s="38" t="inlineStr">
        <is>
          <t>📚  Exemplos</t>
        </is>
      </c>
      <c r="F3" s="38" t="n"/>
      <c r="G3" s="60" t="inlineStr">
        <is>
          <t>◀ Anterior</t>
        </is>
      </c>
      <c r="H3" s="60" t="inlineStr">
        <is>
          <t>Próxima aba ▶</t>
        </is>
      </c>
      <c r="K3" s="61" t="inlineStr">
        <is>
          <t>índice do cenário (1, 2 ou 3)</t>
        </is>
      </c>
      <c r="L3" s="61">
        <f>IFERROR(MATCH($C$19,{"Exemplo 01","Exemplo 02","Meu cálculo"},0),0)</f>
        <v>1</v>
      </c>
    </row>
    <row r="4" ht="10" customHeight="1">
      <c r="K4" s="61" t="inlineStr">
        <is>
          <t>[Dosagem química] fQ</t>
        </is>
      </c>
      <c r="L4" s="61">
        <f>IFERROR(CHOOSE(MATCH($G$25,{"m³/dia","m³/h","L/s"},0),1,24,86.4),"")</f>
        <v>1</v>
      </c>
    </row>
    <row r="5" ht="32" customHeight="1">
      <c r="B5" s="62" t="inlineStr">
        <is>
          <t>COMO USAR:   ① Escolha o cenário na lista amarela   ② Para usar seus dados, escolha Meu cálculo e digite na coluna amarela MEU CÁLCULO   ③ Veja o resultado no card verde   ④ Confira a conta em ENTENDA O CÁLCULO</t>
        </is>
      </c>
      <c r="C5" s="62" t="n"/>
      <c r="D5" s="62" t="n"/>
      <c r="E5" s="62" t="n"/>
      <c r="F5" s="62" t="n"/>
      <c r="G5" s="62" t="n"/>
      <c r="H5" s="62" t="n"/>
      <c r="K5" s="61" t="inlineStr">
        <is>
          <t>[Dosagem química] Qd</t>
        </is>
      </c>
      <c r="L5" s="61">
        <f>IFERROR($G$24*$L$4,"")</f>
        <v>500</v>
      </c>
    </row>
    <row r="6" ht="8" customHeight="1">
      <c r="K6" s="61" t="inlineStr">
        <is>
          <t>[Dosagem química] frac</t>
        </is>
      </c>
      <c r="L6" s="61">
        <f>IFERROR($G$27/100,"")</f>
        <v>0.5</v>
      </c>
    </row>
    <row r="7" ht="24" customHeight="1">
      <c r="B7" s="63" t="inlineStr">
        <is>
          <t>A · IDENTIFICAÇÃO</t>
        </is>
      </c>
      <c r="C7" s="63" t="n"/>
      <c r="D7" s="63" t="n"/>
      <c r="E7" s="63" t="n"/>
      <c r="F7" s="63" t="n"/>
      <c r="G7" s="63" t="n"/>
      <c r="H7" s="63" t="n"/>
      <c r="K7" s="61" t="inlineStr">
        <is>
          <t>[Dosagem química] ma</t>
        </is>
      </c>
      <c r="L7" s="61">
        <f>IFERROR($L$5*$G$26*0.001,"")</f>
        <v>2</v>
      </c>
    </row>
    <row r="8" ht="32" customHeight="1">
      <c r="B8" s="64" t="inlineStr">
        <is>
          <t>O que calcula</t>
        </is>
      </c>
      <c r="C8" s="25" t="inlineStr">
        <is>
          <t>A quantidade teórica de produto químico por dia: massa de ativo, massa de produto comercial e volume de produto líquido.</t>
        </is>
      </c>
      <c r="D8" s="25" t="n"/>
      <c r="E8" s="25" t="n"/>
      <c r="F8" s="25" t="n"/>
      <c r="G8" s="25" t="n"/>
      <c r="H8" s="25" t="n"/>
      <c r="K8" s="61" t="inlineStr">
        <is>
          <t>[Dosagem química] mc</t>
        </is>
      </c>
      <c r="L8" s="61">
        <f>IFERROR($L$7/$L$6,"")</f>
        <v>4</v>
      </c>
    </row>
    <row r="9" ht="32" customHeight="1">
      <c r="B9" s="64" t="inlineStr">
        <is>
          <t>Quando usar</t>
        </is>
      </c>
      <c r="C9" s="25" t="inlineStr">
        <is>
          <t>Coagulação, desinfecção com cloro, correção de pH, estimativa de custo operacional e planejamento de estoque em ETAs e ETEs.</t>
        </is>
      </c>
      <c r="D9" s="25" t="n"/>
      <c r="E9" s="25" t="n"/>
      <c r="F9" s="25" t="n"/>
      <c r="G9" s="25" t="n"/>
      <c r="H9" s="25" t="n"/>
      <c r="K9" s="61" t="inlineStr">
        <is>
          <t>[Dosagem química] vol</t>
        </is>
      </c>
      <c r="L9" s="61">
        <f>IFERROR(IF($G$28="","",$L$8/$G$28),"")</f>
        <v>3.33333333333333</v>
      </c>
    </row>
    <row r="10" ht="19" customHeight="1">
      <c r="B10" s="64" t="inlineStr">
        <is>
          <t>Exemplo prático</t>
        </is>
      </c>
      <c r="C10" s="25" t="inlineStr">
        <is>
          <t>Aplicar 4 mg/L de ativo em 500 m³/dia com produto a 50% exige 4 kg/dia de produto comercial.</t>
        </is>
      </c>
      <c r="D10" s="25" t="n"/>
      <c r="E10" s="25" t="n"/>
      <c r="F10" s="25" t="n"/>
      <c r="G10" s="25" t="n"/>
      <c r="H10" s="25" t="n"/>
      <c r="K10" s="61" t="inlineStr">
        <is>
          <t>[Dosagem química] Dc</t>
        </is>
      </c>
      <c r="L10" s="61">
        <f>IFERROR($G$26/$L$6,"")</f>
        <v>8</v>
      </c>
    </row>
    <row r="11" ht="10" customHeight="1">
      <c r="K11" s="61" t="inlineStr">
        <is>
          <t>[Dosagem química] mcm</t>
        </is>
      </c>
      <c r="L11" s="61">
        <f>IFERROR($L$8*30,"")</f>
        <v>120</v>
      </c>
    </row>
    <row r="12" ht="24" customHeight="1">
      <c r="B12" s="63" t="inlineStr">
        <is>
          <t>COMO ESTA CALCULADORA FUNCIONA</t>
        </is>
      </c>
      <c r="C12" s="63" t="n"/>
      <c r="D12" s="63" t="n"/>
      <c r="E12" s="63" t="n"/>
      <c r="F12" s="63" t="n"/>
      <c r="G12" s="63" t="n"/>
      <c r="H12" s="63" t="n"/>
      <c r="K12" s="61" t="inlineStr">
        <is>
          <t>[Dosagem química] vol_txt</t>
        </is>
      </c>
      <c r="L12" s="61">
        <f>IFERROR(IF($G$28="","sem densidade",$L$9),"")</f>
        <v>3.33333333333333</v>
      </c>
    </row>
    <row r="13" ht="29.4" customHeight="1">
      <c r="B13" s="38" t="inlineStr">
        <is>
          <t>▶ Ir para o cálculo</t>
        </is>
      </c>
      <c r="C13" s="65" t="inlineStr">
        <is>
          <t>Dosagem: 3 ferramentas em sequência: Ferramenta 1 calcula a massa de componente ativo. Ferramenta 2 converte em massa de produto comercial. Ferramenta 3 converte em volume de produto líquido (quando houver densidade).</t>
        </is>
      </c>
      <c r="D13" s="65" t="n"/>
      <c r="E13" s="65" t="n"/>
      <c r="F13" s="65" t="n"/>
      <c r="G13" s="65" t="n"/>
      <c r="H13" s="65" t="n"/>
      <c r="K13" s="61" t="inlineStr">
        <is>
          <t>[Dosagem química] mensagem de validação</t>
        </is>
      </c>
      <c r="L13" s="61" t="str">
        <f>IFERROR(IF($L$3=0,"Escolha um cenário na lista: Exemplo 01, Exemplo 02 ou Meu cálculo.",IF($G$24="","Informe a vazão para continuar.",IF(NOT(ISNUMBER($G$24)),"A vazão precisa ser um número. Confira o valor digitado.",IF($G$24&lt;=0,"A vazão deve ser maior que zero.",IF($L$4="","Confira a unidade selecionada para a vazão.",IF($G$26="","Informe a dosagem ativa para continuar.",IF(NOT(ISNUMBER($G$26)),"A dosagem ativa precisa ser um número. Confira o valor digitado.",IF($G$26&lt;=0,"A dosagem ativa deve ser maior que zero.",IF($G$27="","Confira a porcentagem do componente ativo: o campo está vazio.",IF(NOT(ISNUMBER($G$27)),"Confira a porcentagem do componente ativo: digite um número de 0 a 100.",IF($G$27&lt;=0,"Confira a porcentagem do componente ativo: ela precisa ser maior que zero.",IF($G$27&gt;100,"Confira a porcentagem do componente ativo: o valor não pode passar de 100%.",IF(AND($G$28&lt;&gt;"",NOT(ISNUMBER($G$28))),"A densidade precisa ser um número. Deixe em branco se o produto for sólido.",IF(AND(ISNUMBER($G$28),$G$28&lt;=0),"A densidade deve ser maior que zero. Deixe em branco se o produto for sólido.","")))))))))))))),"Resultado indisponível: existem dados inválidos.")</f>
        <v/>
      </c>
    </row>
    <row r="14" ht="14" customHeight="1">
      <c r="K14" s="61" t="inlineStr">
        <is>
          <t>[Dosagem química] dados válidos?</t>
        </is>
      </c>
      <c r="L14" s="61" t="b">
        <f>$L$13=""</f>
        <v>1</v>
      </c>
    </row>
    <row r="15" ht="30" customHeight="1">
      <c r="B15" s="72" t="inlineStr">
        <is>
          <t>DOSAGEM: 3 FERRAMENTAS EM SEQUÊNCIA</t>
        </is>
      </c>
      <c r="C15" s="72" t="n"/>
      <c r="D15" s="72" t="n"/>
      <c r="E15" s="72" t="n"/>
      <c r="F15" s="72" t="n"/>
      <c r="G15" s="72" t="n"/>
      <c r="H15" s="73" t="inlineStr">
        <is>
          <t>▲ Voltar ao topo</t>
        </is>
      </c>
      <c r="K15" s="61" t="inlineStr">
        <is>
          <t>[Dosagem química] D (arredondado)</t>
        </is>
      </c>
      <c r="L15" s="61">
        <f>IFERROR(ROUND($G$26,IF($G$26=0,0,4-INT(LOG10(ABS($G$26))))),"")</f>
        <v>4</v>
      </c>
    </row>
    <row r="16" ht="32" customHeight="1">
      <c r="B16" s="74" t="inlineStr">
        <is>
          <t>Ferramenta 1 calcula a massa de componente ativo. Ferramenta 2 converte em massa de produto comercial. Ferramenta 3 converte em volume de produto líquido (quando houver densidade).</t>
        </is>
      </c>
      <c r="C16" s="74" t="n"/>
      <c r="D16" s="74" t="n"/>
      <c r="E16" s="74" t="n"/>
      <c r="F16" s="74" t="n"/>
      <c r="G16" s="74" t="n"/>
      <c r="H16" s="74" t="n"/>
      <c r="K16" s="61" t="inlineStr">
        <is>
          <t>[Dosagem química] D (texto)</t>
        </is>
      </c>
      <c r="L16" s="61" t="str">
        <f>IF(ISNUMBER($L$15),FIXED($L$15,IF(ROUND($L$15,0)=$L$15,0,IF(ROUND($L$15,1)=$L$15,1,IF(ROUND($L$15,2)=$L$15,2,IF(ROUND($L$15,3)=$L$15,3,IF(ROUND($L$15,4)=$L$15,4,IF(ROUND($L$15,5)=$L$15,5,IF(ROUND($L$15,6)=$L$15,6,7)))))))),"?")</f>
        <v>4</v>
      </c>
    </row>
    <row r="17" ht="6" customHeight="1">
      <c r="K17" s="61" t="inlineStr">
        <is>
          <t>[Dosagem química] Qd (arredondado)</t>
        </is>
      </c>
      <c r="L17" s="61">
        <f>IFERROR(ROUND($L$5,IF($L$5=0,0,4-INT(LOG10(ABS($L$5))))),"")</f>
        <v>500</v>
      </c>
    </row>
    <row r="18" ht="20" customHeight="1">
      <c r="B18" s="75" t="inlineStr">
        <is>
          <t>B · ESCOLHA DO CENÁRIO</t>
        </is>
      </c>
      <c r="C18" s="75" t="n"/>
      <c r="D18" s="75" t="n"/>
      <c r="E18" s="75" t="n"/>
      <c r="F18" s="75" t="n"/>
      <c r="G18" s="75" t="n"/>
      <c r="H18" s="75" t="n"/>
      <c r="K18" s="61" t="inlineStr">
        <is>
          <t>[Dosagem química] Qd (texto)</t>
        </is>
      </c>
      <c r="L18" s="61" t="str">
        <f>IF(ISNUMBER($L$17),FIXED($L$17,IF(ROUND($L$17,0)=$L$17,0,IF(ROUND($L$17,1)=$L$17,1,IF(ROUND($L$17,2)=$L$17,2,IF(ROUND($L$17,3)=$L$17,3,IF(ROUND($L$17,4)=$L$17,4,IF(ROUND($L$17,5)=$L$17,5,IF(ROUND($L$17,6)=$L$17,6,7)))))))),"?")</f>
        <v>500</v>
      </c>
    </row>
    <row r="19" ht="30" customHeight="1">
      <c r="B19" s="47" t="inlineStr">
        <is>
          <t>Cenário  ▼</t>
        </is>
      </c>
      <c r="C19" s="76" t="inlineStr">
        <is>
          <t>Exemplo 01</t>
        </is>
      </c>
      <c r="D19" s="77" t="n"/>
      <c r="E19" s="68" t="inlineStr">
        <is>
          <t>Exemplo 01 e Exemplo 02 usam dados prontos. Meu cálculo usa os valores que você digitar na coluna amarela.</t>
        </is>
      </c>
      <c r="F19" s="68" t="n"/>
      <c r="G19" s="68" t="n"/>
      <c r="H19" s="68" t="n"/>
      <c r="K19" s="61" t="inlineStr">
        <is>
          <t>[Dosagem química] ma (arredondado)</t>
        </is>
      </c>
      <c r="L19" s="61">
        <f>IFERROR(ROUND($L$7,IF($L$7=0,0,4-INT(LOG10(ABS($L$7))))),"")</f>
        <v>2</v>
      </c>
    </row>
    <row r="20" ht="6" customHeight="1">
      <c r="K20" s="61" t="inlineStr">
        <is>
          <t>[Dosagem química] ma (texto)</t>
        </is>
      </c>
      <c r="L20" s="61" t="str">
        <f>IF(ISNUMBER($L$19),FIXED($L$19,IF(ROUND($L$19,0)=$L$19,0,IF(ROUND($L$19,1)=$L$19,1,IF(ROUND($L$19,2)=$L$19,2,IF(ROUND($L$19,3)=$L$19,3,IF(ROUND($L$19,4)=$L$19,4,IF(ROUND($L$19,5)=$L$19,5,IF(ROUND($L$19,6)=$L$19,6,7)))))))),"?")</f>
        <v>2</v>
      </c>
    </row>
    <row r="21" ht="20" customHeight="1">
      <c r="B21" s="75" t="inlineStr">
        <is>
          <t>C · DADOS DE ENTRADA</t>
        </is>
      </c>
      <c r="C21" s="75" t="n"/>
      <c r="D21" s="75" t="n"/>
      <c r="E21" s="75" t="n"/>
      <c r="F21" s="75" t="n"/>
      <c r="G21" s="75" t="n"/>
      <c r="H21" s="75" t="n"/>
      <c r="K21" s="61" t="inlineStr">
        <is>
          <t>[Dosagem química] mc (arredondado)</t>
        </is>
      </c>
      <c r="L21" s="61">
        <f>IFERROR(ROUND($L$8,IF($L$8=0,0,4-INT(LOG10(ABS($L$8))))),"")</f>
        <v>4</v>
      </c>
    </row>
    <row r="22" ht="22" customHeight="1">
      <c r="B22" s="78" t="inlineStr">
        <is>
          <t>Variável</t>
        </is>
      </c>
      <c r="C22" s="78" t="inlineStr">
        <is>
          <t>Exemplo 01</t>
        </is>
      </c>
      <c r="D22" s="78" t="inlineStr">
        <is>
          <t>Exemplo 02</t>
        </is>
      </c>
      <c r="E22" s="79" t="inlineStr">
        <is>
          <t>MEU CÁLCULO</t>
        </is>
      </c>
      <c r="F22" s="78" t="inlineStr">
        <is>
          <t>Unidade</t>
        </is>
      </c>
      <c r="G22" s="80" t="inlineStr">
        <is>
          <t>Valor em uso</t>
        </is>
      </c>
      <c r="H22" s="78" t="inlineStr">
        <is>
          <t>Orientação de preenchimento</t>
        </is>
      </c>
      <c r="K22" s="61" t="inlineStr">
        <is>
          <t>[Dosagem química] mc (texto)</t>
        </is>
      </c>
      <c r="L22" s="61" t="str">
        <f>IF(ISNUMBER($L$21),FIXED($L$21,IF(ROUND($L$21,0)=$L$21,0,IF(ROUND($L$21,1)=$L$21,1,IF(ROUND($L$21,2)=$L$21,2,IF(ROUND($L$21,3)=$L$21,3,IF(ROUND($L$21,4)=$L$21,4,IF(ROUND($L$21,5)=$L$21,5,IF(ROUND($L$21,6)=$L$21,6,7)))))))),"?")</f>
        <v>4</v>
      </c>
    </row>
    <row r="23" ht="22" customHeight="1">
      <c r="B23" s="47" t="inlineStr">
        <is>
          <t>Produto (opcional)</t>
        </is>
      </c>
      <c r="C23" s="81" t="inlineStr">
        <is>
          <t>Coagulante líquido</t>
        </is>
      </c>
      <c r="D23" s="81" t="inlineStr">
        <is>
          <t>Hipoclorito de sódio</t>
        </is>
      </c>
      <c r="E23" s="82" t="n"/>
      <c r="F23" s="83" t="inlineStr">
        <is>
          <t>texto</t>
        </is>
      </c>
      <c r="G23" s="84" t="str">
        <f>IF($L$3=1,C23,IF($L$3=2,D23,IF($L$3=3,IF(E23="","",E23),"")))</f>
        <v>Coagulante líquido</v>
      </c>
      <c r="H23" s="85" t="inlineStr">
        <is>
          <t>Nome do produto, só para identificação.</t>
        </is>
      </c>
      <c r="K23" s="61" t="inlineStr">
        <is>
          <t>[Dosagem química] pct (arredondado)</t>
        </is>
      </c>
      <c r="L23" s="61">
        <f>IFERROR(ROUND($G$27,IF($G$27=0,0,4-INT(LOG10(ABS($G$27))))),"")</f>
        <v>50</v>
      </c>
    </row>
    <row r="24" ht="29.4" customHeight="1">
      <c r="B24" s="47" t="inlineStr">
        <is>
          <t>Vazão tratada</t>
        </is>
      </c>
      <c r="C24" s="81" t="n">
        <v>500</v>
      </c>
      <c r="D24" s="81" t="n">
        <v>25</v>
      </c>
      <c r="E24" s="82" t="n"/>
      <c r="F24" s="83" t="str">
        <f>$G$25</f>
        <v>m³/dia</v>
      </c>
      <c r="G24" s="84">
        <f>IF($L$3=1,C24,IF($L$3=2,D24,IF($L$3=3,IF(E24="","",E24),"")))</f>
        <v>500</v>
      </c>
      <c r="H24" s="85" t="inlineStr">
        <is>
          <t>Vazão de água ou efluente que recebe o produto. Ex.: 500</t>
        </is>
      </c>
      <c r="K24" s="61" t="inlineStr">
        <is>
          <t>[Dosagem química] pct (texto)</t>
        </is>
      </c>
      <c r="L24" s="61" t="str">
        <f>IF(ISNUMBER($L$23),FIXED($L$23,IF(ROUND($L$23,0)=$L$23,0,IF(ROUND($L$23,1)=$L$23,1,IF(ROUND($L$23,2)=$L$23,2,IF(ROUND($L$23,3)=$L$23,3,IF(ROUND($L$23,4)=$L$23,4,IF(ROUND($L$23,5)=$L$23,5,IF(ROUND($L$23,6)=$L$23,6,7)))))))),"?")</f>
        <v>50</v>
      </c>
    </row>
    <row r="25" ht="22" customHeight="1">
      <c r="B25" s="47" t="inlineStr">
        <is>
          <t>Unidade da vazão</t>
        </is>
      </c>
      <c r="C25" s="81" t="inlineStr">
        <is>
          <t>m³/dia</t>
        </is>
      </c>
      <c r="D25" s="81" t="inlineStr">
        <is>
          <t>L/s</t>
        </is>
      </c>
      <c r="E25" s="82" t="inlineStr">
        <is>
          <t>m³/dia</t>
        </is>
      </c>
      <c r="F25" s="83" t="inlineStr">
        <is>
          <t>lista ▼</t>
        </is>
      </c>
      <c r="G25" s="84" t="str">
        <f>IF($L$3=1,C25,IF($L$3=2,D25,IF($L$3=3,IF(E25="","",E25),"")))</f>
        <v>m³/dia</v>
      </c>
      <c r="H25" s="85" t="inlineStr">
        <is>
          <t>Escolha m³/dia, m³/h ou L/s.</t>
        </is>
      </c>
      <c r="K25" s="61" t="inlineStr">
        <is>
          <t>[Dosagem química] vol (arredondado)</t>
        </is>
      </c>
      <c r="L25" s="61">
        <f>IFERROR(ROUND($L$9,IF($L$9=0,0,4-INT(LOG10(ABS($L$9))))),"")</f>
        <v>3.3333</v>
      </c>
    </row>
    <row r="26" ht="22" customHeight="1">
      <c r="B26" s="47" t="inlineStr">
        <is>
          <t>Dosagem de componente ativo</t>
        </is>
      </c>
      <c r="C26" s="81" t="n">
        <v>4</v>
      </c>
      <c r="D26" s="81" t="n">
        <v>2</v>
      </c>
      <c r="E26" s="82" t="n"/>
      <c r="F26" s="83" t="inlineStr">
        <is>
          <t>mg/L</t>
        </is>
      </c>
      <c r="G26" s="84">
        <f>IF($L$3=1,C26,IF($L$3=2,D26,IF($L$3=3,IF(E26="","",E26),"")))</f>
        <v>4</v>
      </c>
      <c r="H26" s="85" t="inlineStr">
        <is>
          <t>Dose de ATIVO desejada, em mg/L. Ex.: 4</t>
        </is>
      </c>
      <c r="K26" s="61" t="inlineStr">
        <is>
          <t>[Dosagem química] vol (texto)</t>
        </is>
      </c>
      <c r="L26" s="61" t="str">
        <f>IF(ISNUMBER($L$25),FIXED($L$25,IF(ROUND($L$25,0)=$L$25,0,IF(ROUND($L$25,1)=$L$25,1,IF(ROUND($L$25,2)=$L$25,2,IF(ROUND($L$25,3)=$L$25,3,IF(ROUND($L$25,4)=$L$25,4,IF(ROUND($L$25,5)=$L$25,5,IF(ROUND($L$25,6)=$L$25,6,7)))))))),"?")</f>
        <v>3,3333</v>
      </c>
    </row>
    <row r="27" ht="29.4" customHeight="1">
      <c r="B27" s="47" t="inlineStr">
        <is>
          <t>Componente ativo no produto</t>
        </is>
      </c>
      <c r="C27" s="81" t="n">
        <v>50</v>
      </c>
      <c r="D27" s="81" t="n">
        <v>12</v>
      </c>
      <c r="E27" s="82" t="n"/>
      <c r="F27" s="83" t="inlineStr">
        <is>
          <t>%</t>
        </is>
      </c>
      <c r="G27" s="84">
        <f>IF($L$3=1,C27,IF($L$3=2,D27,IF($L$3=3,IF(E27="","",E27),"")))</f>
        <v>50</v>
      </c>
      <c r="H27" s="85" t="inlineStr">
        <is>
          <t>Porcentagem de ativo no produto comercial. Para 50%, digite 50.</t>
        </is>
      </c>
      <c r="K27" s="61" t="inlineStr">
        <is>
          <t>[Dosagem química] frac (arredondado)</t>
        </is>
      </c>
      <c r="L27" s="61">
        <f>IFERROR(ROUND($L$6,IF($L$6=0,0,4-INT(LOG10(ABS($L$6))))),"")</f>
        <v>0.5</v>
      </c>
    </row>
    <row r="28" ht="29.4" customHeight="1">
      <c r="B28" s="47" t="inlineStr">
        <is>
          <t>Densidade do produto</t>
        </is>
      </c>
      <c r="C28" s="81" t="n">
        <v>1.2</v>
      </c>
      <c r="D28" s="81" t="n">
        <v>1.2</v>
      </c>
      <c r="E28" s="82" t="n"/>
      <c r="F28" s="83" t="inlineStr">
        <is>
          <t>kg/L</t>
        </is>
      </c>
      <c r="G28" s="84">
        <f>IF($L$3=1,C28,IF($L$3=2,D28,IF($L$3=3,IF(E28="","",E28),"")))</f>
        <v>1.2</v>
      </c>
      <c r="H28" s="85" t="inlineStr">
        <is>
          <t>Somente para produto líquido. Deixe em branco se for sólido. Ex.: 1,2</t>
        </is>
      </c>
      <c r="K28" s="61" t="inlineStr">
        <is>
          <t>[Dosagem química] frac (texto)</t>
        </is>
      </c>
      <c r="L28" s="61" t="str">
        <f>IF(ISNUMBER($L$27),FIXED($L$27,IF(ROUND($L$27,0)=$L$27,0,IF(ROUND($L$27,1)=$L$27,1,IF(ROUND($L$27,2)=$L$27,2,IF(ROUND($L$27,3)=$L$27,3,IF(ROUND($L$27,4)=$L$27,4,IF(ROUND($L$27,5)=$L$27,5,IF(ROUND($L$27,6)=$L$27,6,7)))))))),"?")</f>
        <v>0,5</v>
      </c>
    </row>
    <row r="29" ht="8" customHeight="1">
      <c r="K29" s="61" t="inlineStr">
        <is>
          <t>[Dosagem química] dens (arredondado)</t>
        </is>
      </c>
      <c r="L29" s="61">
        <f>IFERROR(ROUND($G$28,IF($G$28=0,0,4-INT(LOG10(ABS($G$28))))),"")</f>
        <v>1.2</v>
      </c>
    </row>
    <row r="30" ht="24" customHeight="1">
      <c r="B30" s="86" t="inlineStr">
        <is>
          <t>D · RESULTADO AUTOMÁTICO</t>
        </is>
      </c>
      <c r="C30" s="86" t="n"/>
      <c r="D30" s="86" t="n"/>
      <c r="E30" s="86" t="n"/>
      <c r="F30" s="86" t="n"/>
      <c r="G30" s="86" t="n"/>
      <c r="H30" s="86" t="n"/>
      <c r="K30" s="61" t="inlineStr">
        <is>
          <t>[Dosagem química] dens (texto)</t>
        </is>
      </c>
      <c r="L30" s="61" t="str">
        <f>IF(ISNUMBER($L$29),FIXED($L$29,IF(ROUND($L$29,0)=$L$29,0,IF(ROUND($L$29,1)=$L$29,1,IF(ROUND($L$29,2)=$L$29,2,IF(ROUND($L$29,3)=$L$29,3,IF(ROUND($L$29,4)=$L$29,4,IF(ROUND($L$29,5)=$L$29,5,IF(ROUND($L$29,6)=$L$29,6,7)))))))),"?")</f>
        <v>1,2</v>
      </c>
    </row>
    <row r="31" ht="22" customHeight="1">
      <c r="B31" s="87" t="inlineStr">
        <is>
          <t>FERRAMENTA 2 · MASSA DE PRODUTO COMERCIAL</t>
        </is>
      </c>
      <c r="C31" s="87" t="n"/>
      <c r="D31" s="87" t="n"/>
      <c r="E31" s="88" t="inlineStr">
        <is>
          <t>OUTROS RESULTADOS</t>
        </is>
      </c>
      <c r="F31" s="88" t="n"/>
      <c r="G31" s="88" t="n"/>
      <c r="H31" s="88" t="n"/>
      <c r="K31" s="61" t="inlineStr">
        <is>
          <t>[Dosagem química] Q (arredondado)</t>
        </is>
      </c>
      <c r="L31" s="61">
        <f>IFERROR(ROUND($G$24,IF($G$24=0,0,4-INT(LOG10(ABS($G$24))))),"")</f>
        <v>500</v>
      </c>
    </row>
    <row r="32" ht="21" customHeight="1">
      <c r="B32" s="89">
        <f>IF($L$14,$L$8,"—")</f>
        <v>4</v>
      </c>
      <c r="C32" s="90" t="n"/>
      <c r="D32" s="91" t="inlineStr">
        <is>
          <t>kg/dia</t>
        </is>
      </c>
      <c r="E32" s="92" t="inlineStr">
        <is>
          <t>Ferramenta 1 · Massa de ativo</t>
        </is>
      </c>
      <c r="F32" s="92" t="n"/>
      <c r="G32" s="93">
        <f>IF($L$14,$L$7,"—")</f>
        <v>2</v>
      </c>
      <c r="H32" s="94" t="inlineStr">
        <is>
          <t>kg/dia</t>
        </is>
      </c>
      <c r="K32" s="61" t="inlineStr">
        <is>
          <t>[Dosagem química] Q (texto)</t>
        </is>
      </c>
      <c r="L32" s="61" t="str">
        <f>IF(ISNUMBER($L$31),FIXED($L$31,IF(ROUND($L$31,0)=$L$31,0,IF(ROUND($L$31,1)=$L$31,1,IF(ROUND($L$31,2)=$L$31,2,IF(ROUND($L$31,3)=$L$31,3,IF(ROUND($L$31,4)=$L$31,4,IF(ROUND($L$31,5)=$L$31,5,IF(ROUND($L$31,6)=$L$31,6,7)))))))),"?")</f>
        <v>500</v>
      </c>
    </row>
    <row r="33" ht="21" customHeight="1">
      <c r="B33" s="90" t="n"/>
      <c r="C33" s="90" t="n"/>
      <c r="D33" s="91" t="n"/>
      <c r="E33" s="92" t="inlineStr">
        <is>
          <t>Ferramenta 3 · Volume de produto</t>
        </is>
      </c>
      <c r="F33" s="92" t="n"/>
      <c r="G33" s="93">
        <f>IF($L$14,$L$12,"—")</f>
        <v>3.33333333333333</v>
      </c>
      <c r="H33" s="94" t="inlineStr">
        <is>
          <t>L/dia</t>
        </is>
      </c>
      <c r="K33" s="61" t="inlineStr">
        <is>
          <t>[Dosagem química] resumo</t>
        </is>
      </c>
      <c r="L33" s="61" t="str">
        <f>IF($L$14,$L$22&amp;" "&amp;"kg/dia","—")</f>
        <v>4 kg/dia</v>
      </c>
    </row>
    <row r="34" ht="21" customHeight="1">
      <c r="B34" s="90" t="n"/>
      <c r="C34" s="90" t="n"/>
      <c r="D34" s="91" t="n"/>
      <c r="E34" s="92" t="inlineStr">
        <is>
          <t>Dose em produto comercial</t>
        </is>
      </c>
      <c r="F34" s="92" t="n"/>
      <c r="G34" s="93">
        <f>IF($L$14,$L$10,"—")</f>
        <v>8</v>
      </c>
      <c r="H34" s="94" t="inlineStr">
        <is>
          <t>mg/L</t>
        </is>
      </c>
    </row>
    <row r="35" ht="21" customHeight="1">
      <c r="B35" s="90" t="n"/>
      <c r="C35" s="90" t="n"/>
      <c r="D35" s="91" t="n"/>
      <c r="E35" s="92" t="inlineStr">
        <is>
          <t>Consumo mensal (30 dias)</t>
        </is>
      </c>
      <c r="F35" s="92" t="n"/>
      <c r="G35" s="93">
        <f>IF($L$14,$L$11,"—")</f>
        <v>120</v>
      </c>
      <c r="H35" s="94" t="inlineStr">
        <is>
          <t>kg/mês</t>
        </is>
      </c>
    </row>
    <row r="36" ht="60" customHeight="1">
      <c r="B36" s="96" t="inlineStr">
        <is>
          <t>Interpretação</t>
        </is>
      </c>
      <c r="C36" s="97" t="str">
        <f>IF($L$14,"Para dosar "&amp;$L$16&amp;" mg/L de componente ativo em "&amp;$L$18&amp;" m³/dia são necessários "&amp;$L$20&amp;" kg/dia de ativo, que correspondem a "&amp;$L$22&amp;" kg/dia do produto comercial"&amp;IF($G$28="",". Para converter em volume, informe a densidade (somente produto líquido).",", ou cerca de "&amp;$L$26&amp;" L/dia de produto líquido.")&amp;IF($G$27&lt;1," Atenção: você informou "&amp;$L$24&amp;"% de ativo. Se o produto tem 50%, digite 50 (e não 0,5).","")&amp;IF(AND(ISNUMBER($G$28),OR($G$28&lt;0.8,$G$28&gt;2))," Confira a densidade: o valor está fora da faixa comum de produtos líquidos (0,8 a 2,0 kg/L).",""),"Resultado indisponível: corrija o item indicado em Status dos dados.")</f>
        <v>Para dosar 4 mg/L de componente ativo em 500 m³/dia são necessários 2 kg/dia de ativo, que correspondem a 4 kg/dia do produto comercial, ou cerca de 3,3333 L/dia de produto líquido.</v>
      </c>
      <c r="D36" s="97" t="n"/>
      <c r="E36" s="97" t="n"/>
      <c r="F36" s="97" t="n"/>
      <c r="G36" s="97" t="n"/>
      <c r="H36" s="97" t="n"/>
    </row>
    <row r="37" ht="21" customHeight="1">
      <c r="B37" s="96" t="inlineStr">
        <is>
          <t>Status dos dados</t>
        </is>
      </c>
      <c r="C37" s="98" t="str">
        <f>IF($L$14,"✔ Dados válidos. Resultado calculado automaticamente.","⚠ "&amp;$L$13)</f>
        <v>✔ Dados válidos. Resultado calculado automaticamente.</v>
      </c>
      <c r="D37" s="98" t="n"/>
      <c r="E37" s="98" t="n"/>
      <c r="F37" s="98" t="n"/>
      <c r="G37" s="98" t="n"/>
      <c r="H37" s="98" t="n"/>
    </row>
    <row r="38" ht="10" customHeight="1"/>
    <row r="39" ht="24" customHeight="1">
      <c r="B39" s="99" t="inlineStr">
        <is>
          <t>E · ENTENDA O CÁLCULO</t>
        </is>
      </c>
      <c r="C39" s="99" t="n"/>
      <c r="D39" s="99" t="n"/>
      <c r="E39" s="99" t="n"/>
      <c r="F39" s="99" t="n"/>
      <c r="G39" s="99" t="n"/>
      <c r="H39" s="99" t="n"/>
    </row>
    <row r="40" ht="26" customHeight="1">
      <c r="B40" s="64" t="inlineStr">
        <is>
          <t>Ferramenta 1</t>
        </is>
      </c>
      <c r="C40" s="100" t="inlineStr">
        <is>
          <t>Massa ativa (kg/dia) = Q (m³/dia) × D (mg/L) × 0,001</t>
        </is>
      </c>
      <c r="D40" s="100" t="n"/>
      <c r="E40" s="100" t="n"/>
      <c r="F40" s="100" t="n"/>
      <c r="G40" s="100" t="n"/>
      <c r="H40" s="100" t="n"/>
    </row>
    <row r="41" ht="21" customHeight="1">
      <c r="B41" s="64" t="inlineStr">
        <is>
          <t>Substituição F1</t>
        </is>
      </c>
      <c r="C41" s="25" t="str">
        <f>IF($L$14,"Massa ativa = "&amp;$L$18&amp;" × "&amp;$L$16&amp;" × 0,001 = "&amp;$L$20&amp;" kg/dia","Aguardando dados válidos para montar a conta.")</f>
        <v>Massa ativa = 500 × 4 × 0,001 = 2 kg/dia</v>
      </c>
      <c r="D41" s="25" t="n"/>
      <c r="E41" s="25" t="n"/>
      <c r="F41" s="25" t="n"/>
      <c r="G41" s="25" t="n"/>
      <c r="H41" s="25" t="n"/>
    </row>
    <row r="42" ht="26" customHeight="1">
      <c r="B42" s="64" t="inlineStr">
        <is>
          <t>Ferramenta 2</t>
        </is>
      </c>
      <c r="C42" s="100" t="inlineStr">
        <is>
          <t>Massa comercial = Massa ativa ÷ Fração ativa     (50% = 0,50)</t>
        </is>
      </c>
      <c r="D42" s="100" t="n"/>
      <c r="E42" s="100" t="n"/>
      <c r="F42" s="100" t="n"/>
      <c r="G42" s="100" t="n"/>
      <c r="H42" s="100" t="n"/>
    </row>
    <row r="43" ht="21" customHeight="1">
      <c r="B43" s="64" t="inlineStr">
        <is>
          <t>Substituição F2</t>
        </is>
      </c>
      <c r="C43" s="25" t="str">
        <f>IF($L$14,"Fração ativa = "&amp;$L$24&amp;" ÷ 100 = "&amp;$L$28&amp;"   →   Massa comercial = "&amp;$L$20&amp;" ÷ "&amp;$L$28&amp;" = "&amp;$L$22&amp;" kg/dia","Aguardando dados válidos para montar a conta.")</f>
        <v>Fração ativa = 50 ÷ 100 = 0,5   →   Massa comercial = 2 ÷ 0,5 = 4 kg/dia</v>
      </c>
      <c r="D43" s="25" t="n"/>
      <c r="E43" s="25" t="n"/>
      <c r="F43" s="25" t="n"/>
      <c r="G43" s="25" t="n"/>
      <c r="H43" s="25" t="n"/>
    </row>
    <row r="44" ht="26" customHeight="1">
      <c r="B44" s="64" t="inlineStr">
        <is>
          <t>Ferramenta 3</t>
        </is>
      </c>
      <c r="C44" s="100" t="inlineStr">
        <is>
          <t>Volume (L/dia) = Massa comercial (kg/dia) ÷ Densidade (kg/L)</t>
        </is>
      </c>
      <c r="D44" s="100" t="n"/>
      <c r="E44" s="100" t="n"/>
      <c r="F44" s="100" t="n"/>
      <c r="G44" s="100" t="n"/>
      <c r="H44" s="100" t="n"/>
    </row>
    <row r="45" ht="21" customHeight="1">
      <c r="B45" s="64" t="inlineStr">
        <is>
          <t>Substituição F3</t>
        </is>
      </c>
      <c r="C45" s="25" t="str">
        <f>IF($L$14,IF($G$28="","Sem densidade informada: etapa não aplicável (produto sólido ou densidade desconhecida).","Volume = "&amp;$L$22&amp;" ÷ "&amp;$L$30&amp;" = "&amp;$L$26&amp;" L/dia"),"Aguardando dados válidos para montar a conta.")</f>
        <v>Volume = 4 ÷ 1,2 = 3,3333 L/dia</v>
      </c>
      <c r="D45" s="25" t="n"/>
      <c r="E45" s="25" t="n"/>
      <c r="F45" s="25" t="n"/>
      <c r="G45" s="25" t="n"/>
      <c r="H45" s="25" t="n"/>
    </row>
    <row r="46" ht="32" customHeight="1">
      <c r="B46" s="64" t="inlineStr">
        <is>
          <t>O que é cada variável</t>
        </is>
      </c>
      <c r="C46" s="25" t="inlineStr">
        <is>
          <t>Q = vazão tratada   |   D = dosagem de componente ATIVO   |   Fração ativa = porcentagem ÷ 100   |   Densidade = massa de 1 litro do produto</t>
        </is>
      </c>
      <c r="D46" s="25" t="n"/>
      <c r="E46" s="25" t="n"/>
      <c r="F46" s="25" t="n"/>
      <c r="G46" s="25" t="n"/>
      <c r="H46" s="25" t="n"/>
    </row>
    <row r="47" ht="21" customHeight="1">
      <c r="B47" s="64" t="inlineStr">
        <is>
          <t>Valores inseridos</t>
        </is>
      </c>
      <c r="C47" s="25" t="str">
        <f>"Produto: "&amp;IF($G$23="","não informado",$G$23)&amp;"   |   "&amp;"Q = "&amp;$L$32&amp;" "&amp;$G$25&amp;"   |   "&amp;"D = "&amp;$L$16&amp;" "&amp;"mg/L"&amp;"   |   "&amp;"Ativo = "&amp;$L$24&amp;" "&amp;"%"&amp;"   |   "&amp;"ρ = "&amp;IF($G$28="","não informada",$L$30&amp;" "&amp;"kg/L")</f>
        <v>Produto: Coagulante líquido   |   Q = 500 m³/dia   |   D = 4 mg/L   |   Ativo = 50 %   |   ρ = 1,2 kg/L</v>
      </c>
      <c r="D47" s="25" t="n"/>
      <c r="E47" s="25" t="n"/>
      <c r="F47" s="25" t="n"/>
      <c r="G47" s="25" t="n"/>
      <c r="H47" s="25" t="n"/>
    </row>
    <row r="48" ht="10" customHeight="1"/>
    <row r="49" ht="24" customHeight="1">
      <c r="B49" s="99" t="inlineStr">
        <is>
          <t>G · COMPARAÇÃO VISUAL</t>
        </is>
      </c>
      <c r="C49" s="99" t="n"/>
      <c r="D49" s="99" t="n"/>
      <c r="E49" s="99" t="n"/>
      <c r="F49" s="99" t="n"/>
      <c r="G49" s="99" t="n"/>
      <c r="H49" s="99" t="n"/>
    </row>
    <row r="50" ht="15" customHeight="1">
      <c r="E50" s="110" t="inlineStr">
        <is>
          <t>Dados do gráfico (atualizam sozinhos)</t>
        </is>
      </c>
      <c r="F50" s="110" t="n"/>
      <c r="G50" s="110" t="n"/>
      <c r="H50" s="110" t="n"/>
    </row>
    <row r="51" ht="15" customHeight="1">
      <c r="E51" s="65" t="inlineStr">
        <is>
          <t>Componente ativo</t>
        </is>
      </c>
      <c r="F51" s="65" t="n"/>
      <c r="G51" s="111">
        <f>IF($L$14,$L$7,"")</f>
        <v>2</v>
      </c>
      <c r="H51" s="112" t="inlineStr">
        <is>
          <t>kg/dia</t>
        </is>
      </c>
    </row>
    <row r="52" ht="15" customHeight="1">
      <c r="E52" s="65" t="inlineStr">
        <is>
          <t>Produto comercial</t>
        </is>
      </c>
      <c r="F52" s="65" t="n"/>
      <c r="G52" s="111">
        <f>IF($L$14,$L$8,"")</f>
        <v>4</v>
      </c>
      <c r="H52" s="112" t="inlineStr">
        <is>
          <t>kg/dia</t>
        </is>
      </c>
    </row>
    <row r="53" ht="15" customHeight="1"/>
    <row r="54" ht="15" customHeight="1">
      <c r="E54" s="113" t="inlineStr">
        <is>
          <t>O gráfico usa os mesmos resultados do card verde. Mude um dado e veja as barras mudarem.</t>
        </is>
      </c>
      <c r="F54" s="113" t="n"/>
      <c r="G54" s="113" t="n"/>
      <c r="H54" s="113" t="n"/>
    </row>
    <row r="55" ht="15" customHeight="1">
      <c r="E55" s="113" t="n"/>
      <c r="F55" s="113" t="n"/>
      <c r="G55" s="113" t="n"/>
      <c r="H55" s="113" t="n"/>
    </row>
    <row r="56" ht="15" customHeight="1">
      <c r="E56" s="113" t="n"/>
      <c r="F56" s="113" t="n"/>
      <c r="G56" s="113" t="n"/>
      <c r="H56" s="113" t="n"/>
    </row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0" customHeight="1"/>
    <row r="65" ht="24" customHeight="1">
      <c r="B65" s="99" t="inlineStr">
        <is>
          <t>F · EXEMPLO E ORIENTAÇÃO</t>
        </is>
      </c>
      <c r="C65" s="99" t="n"/>
      <c r="D65" s="99" t="n"/>
      <c r="E65" s="99" t="n"/>
      <c r="F65" s="99" t="n"/>
      <c r="G65" s="99" t="n"/>
      <c r="H65" s="99" t="n"/>
    </row>
    <row r="66" ht="71" customHeight="1">
      <c r="B66" s="64" t="inlineStr">
        <is>
          <t>Exemplos desta ferramenta</t>
        </is>
      </c>
      <c r="C66" s="25" t="inlineStr">
        <is>
          <t>Exemplo 01: Uma ETA trata 500 m³/dia e precisa aplicar 4 mg/L de componente ativo. O produto comercial tem 50% de ativo e densidade de 1,2 kg/L.
Exemplo 02: Uma estação desinfeta 25 L/s de água com 2 mg/L de cloro ativo, usando hipoclorito de sódio com 12% de cloro ativo e densidade de 1,20 kg/L.
Escolha o exemplo na lista Cenário para ver a resolução completa.</t>
        </is>
      </c>
      <c r="D66" s="25" t="n"/>
      <c r="E66" s="25" t="n"/>
      <c r="F66" s="25" t="n"/>
      <c r="G66" s="25" t="n"/>
      <c r="H66" s="25" t="n"/>
    </row>
    <row r="67" ht="32" customHeight="1">
      <c r="B67" s="64" t="inlineStr">
        <is>
          <t>Como interpretar</t>
        </is>
      </c>
      <c r="C67" s="25" t="inlineStr">
        <is>
          <t>A dosagem é definida em componente ativo. Como o produto comercial tem só uma parte de ativo, a massa de produto é sempre maior que a massa de ativo.</t>
        </is>
      </c>
      <c r="D67" s="25" t="n"/>
      <c r="E67" s="25" t="n"/>
      <c r="F67" s="25" t="n"/>
      <c r="G67" s="25" t="n"/>
      <c r="H67" s="25" t="n"/>
    </row>
    <row r="68" ht="32" customHeight="1">
      <c r="B68" s="101" t="inlineStr">
        <is>
          <t>⚠ Erro comum</t>
        </is>
      </c>
      <c r="C68" s="102" t="inlineStr">
        <is>
          <t>Usar a porcentagem como número inteiro na fórmula (dividir por 50 em vez de 0,50) ou confundir dosagem de ativo com dosagem de produto comercial.</t>
        </is>
      </c>
      <c r="D68" s="102" t="n"/>
      <c r="E68" s="102" t="n"/>
      <c r="F68" s="102" t="n"/>
      <c r="G68" s="102" t="n"/>
      <c r="H68" s="102" t="n"/>
    </row>
    <row r="69" ht="19" customHeight="1">
      <c r="B69" s="103" t="inlineStr">
        <is>
          <t>💡 Dica prática</t>
        </is>
      </c>
      <c r="C69" s="104" t="inlineStr">
        <is>
          <t>Não assuma densidade de 1 kg/L. Consulte a ficha técnica (FDS/FISPQ) do produto.</t>
        </is>
      </c>
      <c r="D69" s="104" t="n"/>
      <c r="E69" s="104" t="n"/>
      <c r="F69" s="104" t="n"/>
      <c r="G69" s="104" t="n"/>
      <c r="H69" s="104" t="n"/>
    </row>
    <row r="70" ht="32" customHeight="1">
      <c r="B70" s="114" t="inlineStr">
        <is>
          <t>Atenção</t>
        </is>
      </c>
      <c r="C70" s="55" t="inlineStr">
        <is>
          <t>Valores teóricos de apoio. A aplicação operacional exige considerar especificações do fabricante, compatibilidade, segurança e critérios técnicos.</t>
        </is>
      </c>
      <c r="D70" s="55" t="n"/>
      <c r="E70" s="55" t="n"/>
      <c r="F70" s="55" t="n"/>
      <c r="G70" s="55" t="n"/>
      <c r="H70" s="55" t="n"/>
    </row>
    <row r="71" ht="14" customHeight="1"/>
    <row r="72" ht="14" customHeight="1"/>
    <row r="73" ht="30" customHeight="1">
      <c r="B73" s="33" t="inlineStr">
        <is>
          <t>Lembrete: os resultados são cálculos teóricos de apoio ao estudo. Confira unidades e hipóteses antes de usar em trabalhos, relatórios ou no estágio.</t>
        </is>
      </c>
      <c r="C73" s="33" t="n"/>
      <c r="D73" s="33" t="n"/>
      <c r="E73" s="33" t="n"/>
      <c r="F73" s="33" t="n"/>
      <c r="G73" s="33" t="n"/>
      <c r="H73" s="3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0">
    <mergeCell ref="C10:H10"/>
    <mergeCell ref="C41:H41"/>
    <mergeCell ref="C47:H47"/>
    <mergeCell ref="C44:H44"/>
    <mergeCell ref="B49:H49"/>
    <mergeCell ref="B65:H65"/>
    <mergeCell ref="C40:H40"/>
    <mergeCell ref="C9:H9"/>
    <mergeCell ref="E33:F33"/>
    <mergeCell ref="B30:H30"/>
    <mergeCell ref="E52:F52"/>
    <mergeCell ref="E54:H56"/>
    <mergeCell ref="C43:H43"/>
    <mergeCell ref="B5:H5"/>
    <mergeCell ref="E35:F35"/>
    <mergeCell ref="C46:H46"/>
    <mergeCell ref="E51:F51"/>
    <mergeCell ref="C36:H36"/>
    <mergeCell ref="E50:H50"/>
    <mergeCell ref="K1:L1"/>
    <mergeCell ref="C70:H70"/>
    <mergeCell ref="C8:H8"/>
    <mergeCell ref="B16:H16"/>
    <mergeCell ref="B7:H7"/>
    <mergeCell ref="D32:D35"/>
    <mergeCell ref="B15:G15"/>
    <mergeCell ref="C67:H67"/>
    <mergeCell ref="E34:F34"/>
    <mergeCell ref="B18:H18"/>
    <mergeCell ref="C66:H66"/>
    <mergeCell ref="C13:H13"/>
    <mergeCell ref="B21:H21"/>
    <mergeCell ref="C37:H37"/>
    <mergeCell ref="B12:H12"/>
    <mergeCell ref="B32:C35"/>
    <mergeCell ref="B39:H39"/>
    <mergeCell ref="B2:H2"/>
    <mergeCell ref="C69:H69"/>
    <mergeCell ref="E19:H19"/>
    <mergeCell ref="C68:H68"/>
    <mergeCell ref="C42:H42"/>
    <mergeCell ref="E31:H31"/>
    <mergeCell ref="B1:H1"/>
    <mergeCell ref="B31:D31"/>
    <mergeCell ref="E32:F32"/>
    <mergeCell ref="C19:D19"/>
    <mergeCell ref="C45:H45"/>
    <mergeCell ref="B73:H73"/>
    <mergeCell ref="C3:D3"/>
    <mergeCell ref="E3:F3"/>
  </mergeCells>
  <conditionalFormatting sqref="C23:C28">
    <cfRule type="expression" priority="1" dxfId="1" stopIfTrue="0">
      <formula>$L$3=1</formula>
    </cfRule>
  </conditionalFormatting>
  <conditionalFormatting sqref="D23:D28">
    <cfRule type="expression" priority="2" dxfId="1" stopIfTrue="0">
      <formula>$L$3=2</formula>
    </cfRule>
  </conditionalFormatting>
  <conditionalFormatting sqref="E23:E28">
    <cfRule type="expression" priority="3" dxfId="2" stopIfTrue="0">
      <formula>$L$3=3</formula>
    </cfRule>
  </conditionalFormatting>
  <conditionalFormatting sqref="B32:C35">
    <cfRule type="expression" priority="4" dxfId="3" stopIfTrue="0">
      <formula>NOT($L$14)</formula>
    </cfRule>
  </conditionalFormatting>
  <conditionalFormatting sqref="C37:H37">
    <cfRule type="expression" priority="5" dxfId="4" stopIfTrue="0">
      <formula>$L$14</formula>
    </cfRule>
    <cfRule type="expression" priority="6" dxfId="5" stopIfTrue="0">
      <formula>NOT($L$14)</formula>
    </cfRule>
  </conditionalFormatting>
  <dataValidations count="7">
    <dataValidation sqref="C19" showDropDown="0" showInputMessage="1" showErrorMessage="1" allowBlank="1" errorTitle="Opção inválida" error="Escolha Exemplo 01, Exemplo 02 ou Meu cálculo." promptTitle="Escolha o cenário" prompt="Exemplo 01 e Exemplo 02 usam dados prontos. Meu cálculo usa os valores que você digitar na coluna amarela MEU CÁLCULO." type="list">
      <formula1>"Exemplo 01,Exemplo 02,Meu cálculo"</formula1>
    </dataValidation>
    <dataValidation sqref="E23" showDropDown="0" showInputMessage="1" showErrorMessage="1" allowBlank="1" errorTitle="Texto longo" error="Use até 60 caracteres." promptTitle="Produto (opcional)" prompt="Nome do produto, só para identificação." type="textLength" operator="lessThanOrEqual">
      <formula1>60</formula1>
    </dataValidation>
    <dataValidation sqref="E24" showDropDown="0" showInputMessage="1" showErrorMessage="1" allowBlank="1" errorTitle="Valor inválido" error="Digite um número maior ou igual a zero, sem a unidade. Use vírgula para decimais (ex.: 0,5)." promptTitle="Vazão tratada" prompt="Vazão de água ou efluente que recebe o produto. Ex.: 500" type="decimal" operator="greaterThanOrEqual">
      <formula1>0</formula1>
    </dataValidation>
    <dataValidation sqref="E25" showDropDown="0" showInputMessage="1" showErrorMessage="1" allowBlank="1" errorTitle="Opção inválida" error="Escolha uma opção da lista." promptTitle="Unidade da vazão" prompt="Escolha m³/dia, m³/h ou L/s." type="list">
      <formula1>"m³/dia,m³/h,L/s"</formula1>
    </dataValidation>
    <dataValidation sqref="E26" showDropDown="0" showInputMessage="1" showErrorMessage="1" allowBlank="1" errorTitle="Valor inválido" error="Digite um número maior ou igual a zero, sem a unidade. Use vírgula para decimais (ex.: 0,5)." promptTitle="Dosagem de componente ativo" prompt="Dose de ATIVO desejada, em mg/L. Ex.: 4" type="decimal" operator="greaterThanOrEqual">
      <formula1>0</formula1>
    </dataValidation>
    <dataValidation sqref="E27" showDropDown="0" showInputMessage="1" showErrorMessage="1" allowBlank="1" errorTitle="Porcentagem inválida" error="Digite a porcentagem de 0 a 100. Para 50%, digite 50." promptTitle="Componente ativo no produto" prompt="Porcentagem de ativo no produto comercial. Para 50%, digite 50." type="decimal" operator="between">
      <formula1>0</formula1>
      <formula2>100</formula2>
    </dataValidation>
    <dataValidation sqref="E28" showDropDown="0" showInputMessage="1" showErrorMessage="1" allowBlank="1" errorTitle="Valor inválido" error="Digite um número maior ou igual a zero, sem a unidade. Use vírgula para decimais (ex.: 0,5)." promptTitle="Densidade do produto" prompt="Somente para produto líquido. Deixe em branco se for sólido. Ex.: 1,2" type="decimal" operator="greaterThanOrEqual">
      <formula1>0</formula1>
    </dataValidation>
  </dataValidations>
  <hyperlinks>
    <hyperlink ref="B3" location="'00 — Painel Inicial'!A1" tooltip="Ir para 00 — Painel Inicial" display="🏠  Painel"/>
    <hyperlink ref="C3" location="'01 — Comece Aqui'!A1" tooltip="Ir para 01 — Comece Aqui" display="📘  Guia"/>
    <hyperlink ref="E3" location="'08 — Exemplos Resolvidos'!A1" tooltip="Ir para 08 — Exemplos Resolvidos" display="📚  Exemplos"/>
    <hyperlink ref="G3" location="'06 — Diluição de Soluções'!A1" tooltip="Ir para 06 — Diluição de Soluções" display="◀ Anterior"/>
    <hyperlink ref="H3" location="'08 — Exemplos Resolvidos'!A1" tooltip="Ir para 08 — Exemplos Resolvidos" display="Próxima aba ▶"/>
    <hyperlink ref="B13" location="'07 — Dosagem Química'!B15" tooltip="Ir para 07 — Dosagem Química" display="▶ Ir para o cálculo"/>
    <hyperlink ref="H15" location="'07 — Dosagem Química'!A1" tooltip="Ir para 07 — Dosagem Química" display="▲ Voltar ao topo"/>
  </hyperlinks>
  <pageMargins left="0.4" right="0.4" top="0.5" bottom="0.5" header="0.5" footer="0.5"/>
  <pageSetup orientation="portrait" paperSize="9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BF9000"/>
    <outlinePr summaryBelow="1" summaryRight="1"/>
    <pageSetUpPr fitToPage="1"/>
  </sheetPr>
  <dimension ref="A1:L672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4" customWidth="1" min="5" max="5"/>
    <col width="10" customWidth="1" min="6" max="6"/>
    <col width="13" customWidth="1" min="7" max="7"/>
    <col width="36" customWidth="1" min="8" max="8"/>
    <col width="2" customWidth="1" min="9" max="9"/>
    <col width="4" customWidth="1" min="10" max="10"/>
    <col width="34" customWidth="1" min="11" max="11"/>
    <col width="18" customWidth="1" min="12" max="12"/>
  </cols>
  <sheetData>
    <row r="1" ht="40" customHeight="1">
      <c r="A1" s="126" t="n"/>
      <c r="B1" s="36" t="inlineStr">
        <is>
          <t>📚  BIBLIOTECA DE EXEMPLOS RESOLVIDOS</t>
        </is>
      </c>
      <c r="C1" s="36" t="n"/>
      <c r="D1" s="36" t="n"/>
      <c r="E1" s="36" t="n"/>
      <c r="F1" s="36" t="n"/>
      <c r="G1" s="36" t="n"/>
      <c r="H1" s="36" t="n"/>
      <c r="I1" s="126" t="n"/>
      <c r="K1" s="57" t="inlineStr">
        <is>
          <t>ÁREA TÉCNICA · cálculos auxiliares (não editar)</t>
        </is>
      </c>
      <c r="L1" s="57" t="n"/>
    </row>
    <row r="2" ht="18" customHeight="1">
      <c r="A2" s="126" t="n"/>
      <c r="B2" s="37" t="inlineStr">
        <is>
          <t>Estude o passo a passo e depois teste outros valores na calculadora</t>
        </is>
      </c>
      <c r="C2" s="37" t="n"/>
      <c r="D2" s="37" t="n"/>
      <c r="E2" s="37" t="n"/>
      <c r="F2" s="37" t="n"/>
      <c r="G2" s="37" t="n"/>
      <c r="H2" s="37" t="n"/>
      <c r="I2" s="126" t="n"/>
      <c r="K2" s="58" t="inlineStr">
        <is>
          <t>Descrição</t>
        </is>
      </c>
      <c r="L2" s="59" t="inlineStr">
        <is>
          <t>Valor</t>
        </is>
      </c>
    </row>
    <row r="3" ht="26" customHeight="1">
      <c r="B3" s="38" t="inlineStr">
        <is>
          <t>🏠  Painel</t>
        </is>
      </c>
      <c r="C3" s="38" t="inlineStr">
        <is>
          <t>📘  Guia</t>
        </is>
      </c>
      <c r="D3" s="38" t="n"/>
      <c r="E3" s="38" t="inlineStr">
        <is>
          <t>📚  Exemplos</t>
        </is>
      </c>
      <c r="F3" s="38" t="n"/>
      <c r="G3" s="60" t="inlineStr">
        <is>
          <t>◀ Anterior</t>
        </is>
      </c>
      <c r="H3" s="60" t="inlineStr">
        <is>
          <t>Próxima aba ▶</t>
        </is>
      </c>
      <c r="K3" s="61" t="inlineStr">
        <is>
          <t>[Ex 1.1] fV</t>
        </is>
      </c>
      <c r="L3" s="61">
        <f>IFERROR(CHOOSE(MATCH('02 — Vazão e Hidráulica'!$C$31,{"m³","L"},0),1,0.001),"")</f>
        <v>1</v>
      </c>
    </row>
    <row r="4" ht="10" customHeight="1">
      <c r="K4" s="61" t="inlineStr">
        <is>
          <t>[Ex 1.1] ft</t>
        </is>
      </c>
      <c r="L4" s="61">
        <f>IFERROR(CHOOSE(MATCH('02 — Vazão e Hidráulica'!$C$33,{"s","min","h","dia"},0),1,60,3600,86400),"")</f>
        <v>3600</v>
      </c>
    </row>
    <row r="5" ht="45" customHeight="1">
      <c r="B5" s="127" t="inlineStr">
        <is>
          <t>Como estudar: leia a situação, tente resolver sozinho, confira a resolução e depois clique em Abrir na calculadora para testar outros valores. Todos os números desta aba são calculados por fórmulas a partir dos mesmos dados cadastrados nas calculadoras.</t>
        </is>
      </c>
      <c r="C5" s="127" t="n"/>
      <c r="D5" s="127" t="n"/>
      <c r="E5" s="127" t="n"/>
      <c r="F5" s="127" t="n"/>
      <c r="G5" s="127" t="n"/>
      <c r="H5" s="127" t="n"/>
      <c r="K5" s="61" t="inlineStr">
        <is>
          <t>[Ex 1.1] Vm</t>
        </is>
      </c>
      <c r="L5" s="61">
        <f>IFERROR('02 — Vazão e Hidráulica'!$C$30*$L$3,"")</f>
        <v>360</v>
      </c>
    </row>
    <row r="6">
      <c r="K6" s="61" t="inlineStr">
        <is>
          <t>[Ex 1.1] ts</t>
        </is>
      </c>
      <c r="L6" s="61">
        <f>IFERROR('02 — Vazão e Hidráulica'!$C$32*$L$4,"")</f>
        <v>7200</v>
      </c>
    </row>
    <row r="7" ht="24" customHeight="1">
      <c r="B7" s="63" t="inlineStr">
        <is>
          <t>ÍNDICE POR CATEGORIA (clique para ir)</t>
        </is>
      </c>
      <c r="C7" s="63" t="n"/>
      <c r="D7" s="63" t="n"/>
      <c r="E7" s="63" t="n"/>
      <c r="F7" s="63" t="n"/>
      <c r="G7" s="63" t="n"/>
      <c r="H7" s="63" t="n"/>
      <c r="K7" s="61" t="inlineStr">
        <is>
          <t>[Ex 1.1] Qs</t>
        </is>
      </c>
      <c r="L7" s="61">
        <f>IFERROR($L$5/$L$6,"")</f>
        <v>0.05</v>
      </c>
    </row>
    <row r="8" ht="24" customHeight="1">
      <c r="B8" s="42" t="inlineStr">
        <is>
          <t>💧  01 · Vazão e Hidráulica</t>
        </is>
      </c>
      <c r="C8" s="112" t="inlineStr">
        <is>
          <t>8 exemplos: Vazão a partir de volume e tempo; Vazão em tubulações; Velocidade do escoamento; Tempo de detenção hidráulica (TDH)</t>
        </is>
      </c>
      <c r="D8" s="112" t="n"/>
      <c r="E8" s="112" t="n"/>
      <c r="F8" s="112" t="n"/>
      <c r="G8" s="112" t="n"/>
      <c r="H8" s="112" t="n"/>
      <c r="K8" s="61" t="inlineStr">
        <is>
          <t>[Ex 1.1] Qh</t>
        </is>
      </c>
      <c r="L8" s="61">
        <f>IFERROR($L$7*3600,"")</f>
        <v>180</v>
      </c>
    </row>
    <row r="9" ht="24" customHeight="1">
      <c r="B9" s="128" t="inlineStr">
        <is>
          <t>🏭  02 · Carga Poluidora</t>
        </is>
      </c>
      <c r="C9" s="112" t="inlineStr">
        <is>
          <t>6 exemplos: Calcular carga poluidora; Descobrir a concentração; Descobrir a vazão</t>
        </is>
      </c>
      <c r="D9" s="112" t="n"/>
      <c r="E9" s="112" t="n"/>
      <c r="F9" s="112" t="n"/>
      <c r="G9" s="112" t="n"/>
      <c r="H9" s="112" t="n"/>
      <c r="K9" s="61" t="inlineStr">
        <is>
          <t>[Ex 1.1] Ql</t>
        </is>
      </c>
      <c r="L9" s="61">
        <f>IFERROR($L$7*1000,"")</f>
        <v>50</v>
      </c>
    </row>
    <row r="10" ht="24" customHeight="1">
      <c r="B10" s="129" t="inlineStr">
        <is>
          <t>📉  03 · Eficiência</t>
        </is>
      </c>
      <c r="C10" s="112" t="inlineStr">
        <is>
          <t>4 exemplos: Eficiência por concentração; Eficiência por carga</t>
        </is>
      </c>
      <c r="D10" s="112" t="n"/>
      <c r="E10" s="112" t="n"/>
      <c r="F10" s="112" t="n"/>
      <c r="G10" s="112" t="n"/>
      <c r="H10" s="112" t="n"/>
      <c r="K10" s="61" t="inlineStr">
        <is>
          <t>[Ex 1.1] Qd</t>
        </is>
      </c>
      <c r="L10" s="61">
        <f>IFERROR($L$7*86400,"")</f>
        <v>4320</v>
      </c>
    </row>
    <row r="11" ht="24" customHeight="1">
      <c r="B11" s="130" t="inlineStr">
        <is>
          <t>⚖️  04 · Balanço de Massa</t>
        </is>
      </c>
      <c r="C11" s="112" t="inlineStr">
        <is>
          <t>6 exemplos: Mistura de duas correntes; Balanço de massa em decantadores; Acúmulo de massa</t>
        </is>
      </c>
      <c r="D11" s="112" t="n"/>
      <c r="E11" s="112" t="n"/>
      <c r="F11" s="112" t="n"/>
      <c r="G11" s="112" t="n"/>
      <c r="H11" s="112" t="n"/>
      <c r="K11" s="61" t="inlineStr">
        <is>
          <t>[Ex 1.1] V (arredondado)</t>
        </is>
      </c>
      <c r="L11" s="61">
        <f>IFERROR(ROUND('02 — Vazão e Hidráulica'!$C$30,IF('02 — Vazão e Hidráulica'!$C$30=0,0,4-INT(LOG10(ABS('02 — Vazão e Hidráulica'!$C$30))))),"")</f>
        <v>360</v>
      </c>
    </row>
    <row r="12" ht="24" customHeight="1">
      <c r="B12" s="131" t="inlineStr">
        <is>
          <t>🧪  05 · Diluição</t>
        </is>
      </c>
      <c r="C12" s="112" t="inlineStr">
        <is>
          <t>2 exemplos: Diluição: C₁ × V₁ = C₂ × V₂</t>
        </is>
      </c>
      <c r="D12" s="112" t="n"/>
      <c r="E12" s="112" t="n"/>
      <c r="F12" s="112" t="n"/>
      <c r="G12" s="112" t="n"/>
      <c r="H12" s="112" t="n"/>
      <c r="K12" s="61" t="inlineStr">
        <is>
          <t>[Ex 1.1] V (texto)</t>
        </is>
      </c>
      <c r="L12" s="61" t="str">
        <f>IF(ISNUMBER($L$11),FIXED($L$11,IF(ROUND($L$11,0)=$L$11,0,IF(ROUND($L$11,1)=$L$11,1,IF(ROUND($L$11,2)=$L$11,2,IF(ROUND($L$11,3)=$L$11,3,IF(ROUND($L$11,4)=$L$11,4,IF(ROUND($L$11,5)=$L$11,5,IF(ROUND($L$11,6)=$L$11,6,7)))))))),"?")</f>
        <v>360</v>
      </c>
    </row>
    <row r="13" ht="24" customHeight="1">
      <c r="B13" s="132" t="inlineStr">
        <is>
          <t>⚗️  06 · Dosagem Química</t>
        </is>
      </c>
      <c r="C13" s="112" t="inlineStr">
        <is>
          <t>2 exemplos: Dosagem: 3 ferramentas em sequência</t>
        </is>
      </c>
      <c r="D13" s="112" t="n"/>
      <c r="E13" s="112" t="n"/>
      <c r="F13" s="112" t="n"/>
      <c r="G13" s="112" t="n"/>
      <c r="H13" s="112" t="n"/>
      <c r="K13" s="61" t="inlineStr">
        <is>
          <t>[Ex 1.1] t (arredondado)</t>
        </is>
      </c>
      <c r="L13" s="61">
        <f>IFERROR(ROUND('02 — Vazão e Hidráulica'!$C$32,IF('02 — Vazão e Hidráulica'!$C$32=0,0,4-INT(LOG10(ABS('02 — Vazão e Hidráulica'!$C$32))))),"")</f>
        <v>2</v>
      </c>
    </row>
    <row r="14">
      <c r="K14" s="61" t="inlineStr">
        <is>
          <t>[Ex 1.1] t (texto)</t>
        </is>
      </c>
      <c r="L14" s="61" t="str">
        <f>IF(ISNUMBER($L$13),FIXED($L$13,IF(ROUND($L$13,0)=$L$13,0,IF(ROUND($L$13,1)=$L$13,1,IF(ROUND($L$13,2)=$L$13,2,IF(ROUND($L$13,3)=$L$13,3,IF(ROUND($L$13,4)=$L$13,4,IF(ROUND($L$13,5)=$L$13,5,IF(ROUND($L$13,6)=$L$13,6,7)))))))),"?")</f>
        <v>2</v>
      </c>
    </row>
    <row r="15" ht="32" customHeight="1">
      <c r="B15" s="133" t="inlineStr">
        <is>
          <t>💧  CALCULADORA 01 · VAZÃO E HIDRÁULICA</t>
        </is>
      </c>
      <c r="C15" s="133" t="n"/>
      <c r="D15" s="133" t="n"/>
      <c r="E15" s="133" t="n"/>
      <c r="F15" s="133" t="n"/>
      <c r="G15" s="133" t="n"/>
      <c r="H15" s="73" t="inlineStr">
        <is>
          <t>▲ Voltar ao índice</t>
        </is>
      </c>
      <c r="K15" s="61" t="inlineStr">
        <is>
          <t>[Ex 1.1] Qs (arredondado)</t>
        </is>
      </c>
      <c r="L15" s="61">
        <f>IFERROR(ROUND($L$7,IF($L$7=0,0,4-INT(LOG10(ABS($L$7))))),"")</f>
        <v>0.05</v>
      </c>
    </row>
    <row r="16" ht="8" customHeight="1">
      <c r="K16" s="61" t="inlineStr">
        <is>
          <t>[Ex 1.1] Qs (texto)</t>
        </is>
      </c>
      <c r="L16" s="61" t="str">
        <f>IF(ISNUMBER($L$15),FIXED($L$15,IF(ROUND($L$15,0)=$L$15,0,IF(ROUND($L$15,1)=$L$15,1,IF(ROUND($L$15,2)=$L$15,2,IF(ROUND($L$15,3)=$L$15,3,IF(ROUND($L$15,4)=$L$15,4,IF(ROUND($L$15,5)=$L$15,5,IF(ROUND($L$15,6)=$L$15,6,7)))))))),"?")</f>
        <v>0,05</v>
      </c>
    </row>
    <row r="17" ht="26" customHeight="1">
      <c r="B17" s="134" t="inlineStr">
        <is>
          <t>EXEMPLO 1.1   ·   Enchimento de tanque por bomba</t>
        </is>
      </c>
      <c r="C17" s="134" t="n"/>
      <c r="D17" s="134" t="n"/>
      <c r="E17" s="134" t="n"/>
      <c r="F17" s="134" t="n"/>
      <c r="G17" s="135" t="inlineStr">
        <is>
          <t>▶ Abrir na calculadora</t>
        </is>
      </c>
      <c r="H17" s="135" t="n"/>
      <c r="K17" s="61" t="inlineStr">
        <is>
          <t>[Ex 1.1] Vm (arredondado)</t>
        </is>
      </c>
      <c r="L17" s="61">
        <f>IFERROR(ROUND($L$5,IF($L$5=0,0,4-INT(LOG10(ABS($L$5))))),"")</f>
        <v>360</v>
      </c>
    </row>
    <row r="18" ht="19" customHeight="1">
      <c r="B18" s="64" t="inlineStr">
        <is>
          <t>Situação prática</t>
        </is>
      </c>
      <c r="C18" s="25" t="inlineStr">
        <is>
          <t>Uma bomba enche um tanque de 360 m³ em 2 horas. Qual é a vazão da bomba?</t>
        </is>
      </c>
      <c r="D18" s="25" t="n"/>
      <c r="E18" s="25" t="n"/>
      <c r="F18" s="25" t="n"/>
      <c r="G18" s="25" t="n"/>
      <c r="H18" s="25" t="n"/>
      <c r="K18" s="61" t="inlineStr">
        <is>
          <t>[Ex 1.1] Vm (texto)</t>
        </is>
      </c>
      <c r="L18" s="61" t="str">
        <f>IF(ISNUMBER($L$17),FIXED($L$17,IF(ROUND($L$17,0)=$L$17,0,IF(ROUND($L$17,1)=$L$17,1,IF(ROUND($L$17,2)=$L$17,2,IF(ROUND($L$17,3)=$L$17,3,IF(ROUND($L$17,4)=$L$17,4,IF(ROUND($L$17,5)=$L$17,5,IF(ROUND($L$17,6)=$L$17,6,7)))))))),"?")</f>
        <v>360</v>
      </c>
    </row>
    <row r="19" ht="21" customHeight="1">
      <c r="B19" s="64" t="inlineStr">
        <is>
          <t>Dados utilizados</t>
        </is>
      </c>
      <c r="C19" s="25" t="str">
        <f>"V = "&amp;$L$12&amp;" "&amp;'02 — Vazão e Hidráulica'!$C$31&amp;"   |   "&amp;"t = "&amp;$L$14&amp;" "&amp;'02 — Vazão e Hidráulica'!$C$33</f>
        <v>V = 360 m³   |   t = 2 h</v>
      </c>
      <c r="D19" s="25" t="n"/>
      <c r="E19" s="25" t="n"/>
      <c r="F19" s="25" t="n"/>
      <c r="G19" s="25" t="n"/>
      <c r="H19" s="25" t="n"/>
      <c r="K19" s="61" t="inlineStr">
        <is>
          <t>[Ex 1.1] ts (arredondado)</t>
        </is>
      </c>
      <c r="L19" s="61">
        <f>IFERROR(ROUND($L$6,IF($L$6=0,0,4-INT(LOG10(ABS($L$6))))),"")</f>
        <v>7200</v>
      </c>
    </row>
    <row r="20" ht="24" customHeight="1">
      <c r="B20" s="64" t="inlineStr">
        <is>
          <t>Fórmula</t>
        </is>
      </c>
      <c r="C20" s="136" t="inlineStr">
        <is>
          <t>Q = V ÷ t</t>
        </is>
      </c>
      <c r="D20" s="136" t="n"/>
      <c r="E20" s="136" t="n"/>
      <c r="F20" s="136" t="n"/>
      <c r="G20" s="136" t="n"/>
      <c r="H20" s="136" t="n"/>
      <c r="K20" s="61" t="inlineStr">
        <is>
          <t>[Ex 1.1] ts (texto)</t>
        </is>
      </c>
      <c r="L20" s="61" t="str">
        <f>IF(ISNUMBER($L$19),FIXED($L$19,IF(ROUND($L$19,0)=$L$19,0,IF(ROUND($L$19,1)=$L$19,1,IF(ROUND($L$19,2)=$L$19,2,IF(ROUND($L$19,3)=$L$19,3,IF(ROUND($L$19,4)=$L$19,4,IF(ROUND($L$19,5)=$L$19,5,IF(ROUND($L$19,6)=$L$19,6,7)))))))),"?")</f>
        <v>7.200</v>
      </c>
    </row>
    <row r="21" ht="34" customHeight="1">
      <c r="B21" s="64" t="inlineStr">
        <is>
          <t>Substituição</t>
        </is>
      </c>
      <c r="C21" s="25" t="str">
        <f>"Convertendo para o SI: V = "&amp;$L$18&amp;" m³ e t = "&amp;$L$20&amp;" s."&amp;CHAR(10)&amp;"Q = "&amp;$L$18&amp;" ÷ "&amp;$L$20&amp;" = "&amp;$L$16&amp;" m³/s"</f>
        <v>Convertendo para o SI: V = 360 m³ e t = 7.200 s.
Q = 360 ÷ 7.200 = 0,05 m³/s</v>
      </c>
      <c r="D21" s="25" t="n"/>
      <c r="E21" s="25" t="n"/>
      <c r="F21" s="25" t="n"/>
      <c r="G21" s="25" t="n"/>
      <c r="H21" s="25" t="n"/>
      <c r="K21" s="61" t="inlineStr">
        <is>
          <t>[Ex 1.1] Qd (arredondado)</t>
        </is>
      </c>
      <c r="L21" s="61">
        <f>IFERROR(ROUND($L$10,IF($L$10=0,0,4-INT(LOG10(ABS($L$10))))),"")</f>
        <v>4320</v>
      </c>
    </row>
    <row r="22" ht="47" customHeight="1">
      <c r="B22" s="64" t="inlineStr">
        <is>
          <t>Resolução</t>
        </is>
      </c>
      <c r="C22" s="25" t="str">
        <f>"1) Converter para o SI: V = "&amp;$L$18&amp;" m³ e t = "&amp;$L$20&amp;" s."&amp;CHAR(10)&amp;"2) Q = V ÷ t = "&amp;$L$18&amp;" ÷ "&amp;$L$20&amp;" = "&amp;$L$16&amp;" m³/s."&amp;CHAR(10)&amp;"3) Converter: × 1000 = "&amp;$L$26&amp;" L/s;  × 3600 = "&amp;$L$24&amp;" m³/h;  × 86400 = "&amp;$L$22&amp;" m³/dia."</f>
        <v>1) Converter para o SI: V = 360 m³ e t = 7.200 s.
2) Q = V ÷ t = 360 ÷ 7.200 = 0,05 m³/s.
3) Converter: × 1000 = 50 L/s;  × 3600 = 180 m³/h;  × 86400 = 4.320 m³/dia.</v>
      </c>
      <c r="D22" s="25" t="n"/>
      <c r="E22" s="25" t="n"/>
      <c r="F22" s="25" t="n"/>
      <c r="G22" s="25" t="n"/>
      <c r="H22" s="25" t="n"/>
      <c r="K22" s="61" t="inlineStr">
        <is>
          <t>[Ex 1.1] Qd (texto)</t>
        </is>
      </c>
      <c r="L22" s="61" t="str">
        <f>IF(ISNUMBER($L$21),FIXED($L$21,IF(ROUND($L$21,0)=$L$21,0,IF(ROUND($L$21,1)=$L$21,1,IF(ROUND($L$21,2)=$L$21,2,IF(ROUND($L$21,3)=$L$21,3,IF(ROUND($L$21,4)=$L$21,4,IF(ROUND($L$21,5)=$L$21,5,IF(ROUND($L$21,6)=$L$21,6,7)))))))),"?")</f>
        <v>4.320</v>
      </c>
    </row>
    <row r="23" ht="22.3" customHeight="1">
      <c r="B23" s="137" t="inlineStr">
        <is>
          <t>Resultado</t>
        </is>
      </c>
      <c r="C23" s="138" t="str">
        <f>"Q = "&amp;$L$24&amp;" m³/h = "&amp;$L$26&amp;" L/s = "&amp;$L$16&amp;" m³/s"</f>
        <v>Q = 180 m³/h = 50 L/s = 0,05 m³/s</v>
      </c>
      <c r="D23" s="138" t="n"/>
      <c r="E23" s="138" t="n"/>
      <c r="F23" s="138" t="n"/>
      <c r="G23" s="138" t="n"/>
      <c r="H23" s="138" t="n"/>
      <c r="K23" s="61" t="inlineStr">
        <is>
          <t>[Ex 1.1] Qh (arredondado)</t>
        </is>
      </c>
      <c r="L23" s="61">
        <f>IFERROR(ROUND($L$8,IF($L$8=0,0,4-INT(LOG10(ABS($L$8))))),"")</f>
        <v>180</v>
      </c>
    </row>
    <row r="24" ht="21" customHeight="1">
      <c r="B24" s="64" t="inlineStr">
        <is>
          <t>Explicação simples</t>
        </is>
      </c>
      <c r="C24" s="25" t="str">
        <f>"A cada hora passam "&amp;$L$24&amp;" m³ de líquido. Isso é o mesmo que "&amp;$L$26&amp;" litros por segundo, ou "&amp;$L$22&amp;" m³ por dia."</f>
        <v>A cada hora passam 180 m³ de líquido. Isso é o mesmo que 50 litros por segundo, ou 4.320 m³ por dia.</v>
      </c>
      <c r="D24" s="25" t="n"/>
      <c r="E24" s="25" t="n"/>
      <c r="F24" s="25" t="n"/>
      <c r="G24" s="25" t="n"/>
      <c r="H24" s="25" t="n"/>
      <c r="K24" s="61" t="inlineStr">
        <is>
          <t>[Ex 1.1] Qh (texto)</t>
        </is>
      </c>
      <c r="L24" s="61" t="str">
        <f>IF(ISNUMBER($L$23),FIXED($L$23,IF(ROUND($L$23,0)=$L$23,0,IF(ROUND($L$23,1)=$L$23,1,IF(ROUND($L$23,2)=$L$23,2,IF(ROUND($L$23,3)=$L$23,3,IF(ROUND($L$23,4)=$L$23,4,IF(ROUND($L$23,5)=$L$23,5,IF(ROUND($L$23,6)=$L$23,6,7)))))))),"?")</f>
        <v>180</v>
      </c>
    </row>
    <row r="25" ht="32" customHeight="1">
      <c r="B25" s="103" t="inlineStr">
        <is>
          <t>Teste na calculadora</t>
        </is>
      </c>
      <c r="C25" s="104" t="inlineStr">
        <is>
          <t>Na aba 02 — Vazão e Hidráulica, vá até a Ferramenta 1 e escolha Exemplo 01 na lista Cenário. Depois troque para Meu cálculo e teste outros valores.</t>
        </is>
      </c>
      <c r="D25" s="104" t="n"/>
      <c r="E25" s="104" t="n"/>
      <c r="F25" s="104" t="n"/>
      <c r="G25" s="104" t="n"/>
      <c r="H25" s="104" t="n"/>
      <c r="K25" s="61" t="inlineStr">
        <is>
          <t>[Ex 1.1] Ql (arredondado)</t>
        </is>
      </c>
      <c r="L25" s="61">
        <f>IFERROR(ROUND($L$9,IF($L$9=0,0,4-INT(LOG10(ABS($L$9))))),"")</f>
        <v>50</v>
      </c>
    </row>
    <row r="26" ht="14" customHeight="1">
      <c r="K26" s="61" t="inlineStr">
        <is>
          <t>[Ex 1.1] Ql (texto)</t>
        </is>
      </c>
      <c r="L26" s="61" t="str">
        <f>IF(ISNUMBER($L$25),FIXED($L$25,IF(ROUND($L$25,0)=$L$25,0,IF(ROUND($L$25,1)=$L$25,1,IF(ROUND($L$25,2)=$L$25,2,IF(ROUND($L$25,3)=$L$25,3,IF(ROUND($L$25,4)=$L$25,4,IF(ROUND($L$25,5)=$L$25,5,IF(ROUND($L$25,6)=$L$25,6,7)))))))),"?")</f>
        <v>50</v>
      </c>
    </row>
    <row r="27" ht="26" customHeight="1">
      <c r="B27" s="134" t="inlineStr">
        <is>
          <t>EXEMPLO 1.2   ·   Esvaziamento de reservatório</t>
        </is>
      </c>
      <c r="C27" s="134" t="n"/>
      <c r="D27" s="134" t="n"/>
      <c r="E27" s="134" t="n"/>
      <c r="F27" s="134" t="n"/>
      <c r="G27" s="135" t="inlineStr">
        <is>
          <t>▶ Abrir na calculadora</t>
        </is>
      </c>
      <c r="H27" s="135" t="n"/>
      <c r="K27" s="61" t="inlineStr">
        <is>
          <t>[Ex 1.2] fV</t>
        </is>
      </c>
      <c r="L27" s="61">
        <f>IFERROR(CHOOSE(MATCH('02 — Vazão e Hidráulica'!$D$31,{"m³","L"},0),1,0.001),"")</f>
        <v>0.001</v>
      </c>
    </row>
    <row r="28" ht="19" customHeight="1">
      <c r="B28" s="64" t="inlineStr">
        <is>
          <t>Situação prática</t>
        </is>
      </c>
      <c r="C28" s="25" t="inlineStr">
        <is>
          <t>Um reservatório com 15.000 litros foi esvaziado em 25 minutos. Qual foi a vazão média de saída?</t>
        </is>
      </c>
      <c r="D28" s="25" t="n"/>
      <c r="E28" s="25" t="n"/>
      <c r="F28" s="25" t="n"/>
      <c r="G28" s="25" t="n"/>
      <c r="H28" s="25" t="n"/>
      <c r="K28" s="61" t="inlineStr">
        <is>
          <t>[Ex 1.2] ft</t>
        </is>
      </c>
      <c r="L28" s="61">
        <f>IFERROR(CHOOSE(MATCH('02 — Vazão e Hidráulica'!$D$33,{"s","min","h","dia"},0),1,60,3600,86400),"")</f>
        <v>60</v>
      </c>
    </row>
    <row r="29" ht="21" customHeight="1">
      <c r="B29" s="64" t="inlineStr">
        <is>
          <t>Dados utilizados</t>
        </is>
      </c>
      <c r="C29" s="25" t="str">
        <f>"V = "&amp;$L$36&amp;" "&amp;'02 — Vazão e Hidráulica'!$D$31&amp;"   |   "&amp;"t = "&amp;$L$38&amp;" "&amp;'02 — Vazão e Hidráulica'!$D$33</f>
        <v>V = 15.000 L   |   t = 25 min</v>
      </c>
      <c r="D29" s="25" t="n"/>
      <c r="E29" s="25" t="n"/>
      <c r="F29" s="25" t="n"/>
      <c r="G29" s="25" t="n"/>
      <c r="H29" s="25" t="n"/>
      <c r="K29" s="61" t="inlineStr">
        <is>
          <t>[Ex 1.2] Vm</t>
        </is>
      </c>
      <c r="L29" s="61">
        <f>IFERROR('02 — Vazão e Hidráulica'!$D$30*$L$27,"")</f>
        <v>15</v>
      </c>
    </row>
    <row r="30" ht="24" customHeight="1">
      <c r="B30" s="64" t="inlineStr">
        <is>
          <t>Fórmula</t>
        </is>
      </c>
      <c r="C30" s="136" t="inlineStr">
        <is>
          <t>Q = V ÷ t</t>
        </is>
      </c>
      <c r="D30" s="136" t="n"/>
      <c r="E30" s="136" t="n"/>
      <c r="F30" s="136" t="n"/>
      <c r="G30" s="136" t="n"/>
      <c r="H30" s="136" t="n"/>
      <c r="K30" s="61" t="inlineStr">
        <is>
          <t>[Ex 1.2] ts</t>
        </is>
      </c>
      <c r="L30" s="61">
        <f>IFERROR('02 — Vazão e Hidráulica'!$D$32*$L$28,"")</f>
        <v>1500</v>
      </c>
    </row>
    <row r="31" ht="34" customHeight="1">
      <c r="B31" s="64" t="inlineStr">
        <is>
          <t>Substituição</t>
        </is>
      </c>
      <c r="C31" s="25" t="str">
        <f>"Convertendo para o SI: V = "&amp;$L$42&amp;" m³ e t = "&amp;$L$44&amp;" s."&amp;CHAR(10)&amp;"Q = "&amp;$L$42&amp;" ÷ "&amp;$L$44&amp;" = "&amp;$L$40&amp;" m³/s"</f>
        <v>Convertendo para o SI: V = 15 m³ e t = 1.500 s.
Q = 15 ÷ 1.500 = 0,01 m³/s</v>
      </c>
      <c r="D31" s="25" t="n"/>
      <c r="E31" s="25" t="n"/>
      <c r="F31" s="25" t="n"/>
      <c r="G31" s="25" t="n"/>
      <c r="H31" s="25" t="n"/>
      <c r="K31" s="61" t="inlineStr">
        <is>
          <t>[Ex 1.2] Qs</t>
        </is>
      </c>
      <c r="L31" s="61">
        <f>IFERROR($L$29/$L$30,"")</f>
        <v>0.01</v>
      </c>
    </row>
    <row r="32" ht="47" customHeight="1">
      <c r="B32" s="64" t="inlineStr">
        <is>
          <t>Resolução</t>
        </is>
      </c>
      <c r="C32" s="25" t="str">
        <f>"1) Converter para o SI: V = "&amp;$L$42&amp;" m³ e t = "&amp;$L$44&amp;" s."&amp;CHAR(10)&amp;"2) Q = V ÷ t = "&amp;$L$42&amp;" ÷ "&amp;$L$44&amp;" = "&amp;$L$40&amp;" m³/s."&amp;CHAR(10)&amp;"3) Converter: × 1000 = "&amp;$L$50&amp;" L/s;  × 3600 = "&amp;$L$48&amp;" m³/h;  × 86400 = "&amp;$L$46&amp;" m³/dia."</f>
        <v>1) Converter para o SI: V = 15 m³ e t = 1.500 s.
2) Q = V ÷ t = 15 ÷ 1.500 = 0,01 m³/s.
3) Converter: × 1000 = 10 L/s;  × 3600 = 36 m³/h;  × 86400 = 864 m³/dia.</v>
      </c>
      <c r="D32" s="25" t="n"/>
      <c r="E32" s="25" t="n"/>
      <c r="F32" s="25" t="n"/>
      <c r="G32" s="25" t="n"/>
      <c r="H32" s="25" t="n"/>
      <c r="K32" s="61" t="inlineStr">
        <is>
          <t>[Ex 1.2] Qh</t>
        </is>
      </c>
      <c r="L32" s="61">
        <f>IFERROR($L$31*3600,"")</f>
        <v>36</v>
      </c>
    </row>
    <row r="33" ht="22.3" customHeight="1">
      <c r="B33" s="137" t="inlineStr">
        <is>
          <t>Resultado</t>
        </is>
      </c>
      <c r="C33" s="138" t="str">
        <f>"Q = "&amp;$L$48&amp;" m³/h = "&amp;$L$50&amp;" L/s = "&amp;$L$40&amp;" m³/s"</f>
        <v>Q = 36 m³/h = 10 L/s = 0,01 m³/s</v>
      </c>
      <c r="D33" s="138" t="n"/>
      <c r="E33" s="138" t="n"/>
      <c r="F33" s="138" t="n"/>
      <c r="G33" s="138" t="n"/>
      <c r="H33" s="138" t="n"/>
      <c r="K33" s="61" t="inlineStr">
        <is>
          <t>[Ex 1.2] Ql</t>
        </is>
      </c>
      <c r="L33" s="61">
        <f>IFERROR($L$31*1000,"")</f>
        <v>10</v>
      </c>
    </row>
    <row r="34" ht="21" customHeight="1">
      <c r="B34" s="64" t="inlineStr">
        <is>
          <t>Explicação simples</t>
        </is>
      </c>
      <c r="C34" s="25" t="str">
        <f>"A cada hora passam "&amp;$L$48&amp;" m³ de líquido. Isso é o mesmo que "&amp;$L$50&amp;" litros por segundo, ou "&amp;$L$46&amp;" m³ por dia."</f>
        <v>A cada hora passam 36 m³ de líquido. Isso é o mesmo que 10 litros por segundo, ou 864 m³ por dia.</v>
      </c>
      <c r="D34" s="25" t="n"/>
      <c r="E34" s="25" t="n"/>
      <c r="F34" s="25" t="n"/>
      <c r="G34" s="25" t="n"/>
      <c r="H34" s="25" t="n"/>
      <c r="K34" s="61" t="inlineStr">
        <is>
          <t>[Ex 1.2] Qd</t>
        </is>
      </c>
      <c r="L34" s="61">
        <f>IFERROR($L$31*86400,"")</f>
        <v>864</v>
      </c>
    </row>
    <row r="35" ht="32" customHeight="1">
      <c r="B35" s="103" t="inlineStr">
        <is>
          <t>Teste na calculadora</t>
        </is>
      </c>
      <c r="C35" s="104" t="inlineStr">
        <is>
          <t>Na aba 02 — Vazão e Hidráulica, vá até a Ferramenta 1 e escolha Exemplo 02 na lista Cenário. Depois troque para Meu cálculo e teste outros valores.</t>
        </is>
      </c>
      <c r="D35" s="104" t="n"/>
      <c r="E35" s="104" t="n"/>
      <c r="F35" s="104" t="n"/>
      <c r="G35" s="104" t="n"/>
      <c r="H35" s="104" t="n"/>
      <c r="K35" s="61" t="inlineStr">
        <is>
          <t>[Ex 1.2] V (arredondado)</t>
        </is>
      </c>
      <c r="L35" s="61">
        <f>IFERROR(ROUND('02 — Vazão e Hidráulica'!$D$30,IF('02 — Vazão e Hidráulica'!$D$30=0,0,4-INT(LOG10(ABS('02 — Vazão e Hidráulica'!$D$30))))),"")</f>
        <v>15000</v>
      </c>
    </row>
    <row r="36" ht="14" customHeight="1">
      <c r="K36" s="61" t="inlineStr">
        <is>
          <t>[Ex 1.2] V (texto)</t>
        </is>
      </c>
      <c r="L36" s="61" t="str">
        <f>IF(ISNUMBER($L$35),FIXED($L$35,IF(ROUND($L$35,0)=$L$35,0,IF(ROUND($L$35,1)=$L$35,1,IF(ROUND($L$35,2)=$L$35,2,IF(ROUND($L$35,3)=$L$35,3,IF(ROUND($L$35,4)=$L$35,4,IF(ROUND($L$35,5)=$L$35,5,IF(ROUND($L$35,6)=$L$35,6,7)))))))),"?")</f>
        <v>15.000</v>
      </c>
    </row>
    <row r="37" ht="26" customHeight="1">
      <c r="B37" s="134" t="inlineStr">
        <is>
          <t>EXEMPLO 1.3   ·   Adutora de água tratada</t>
        </is>
      </c>
      <c r="C37" s="134" t="n"/>
      <c r="D37" s="134" t="n"/>
      <c r="E37" s="134" t="n"/>
      <c r="F37" s="134" t="n"/>
      <c r="G37" s="135" t="inlineStr">
        <is>
          <t>▶ Abrir na calculadora</t>
        </is>
      </c>
      <c r="H37" s="135" t="n"/>
      <c r="K37" s="61" t="inlineStr">
        <is>
          <t>[Ex 1.2] t (arredondado)</t>
        </is>
      </c>
      <c r="L37" s="61">
        <f>IFERROR(ROUND('02 — Vazão e Hidráulica'!$D$32,IF('02 — Vazão e Hidráulica'!$D$32=0,0,4-INT(LOG10(ABS('02 — Vazão e Hidráulica'!$D$32))))),"")</f>
        <v>25</v>
      </c>
    </row>
    <row r="38" ht="19" customHeight="1">
      <c r="B38" s="64" t="inlineStr">
        <is>
          <t>Situação prática</t>
        </is>
      </c>
      <c r="C38" s="25" t="inlineStr">
        <is>
          <t>Uma adutora tem diâmetro interno de 0,30 m e a água escoa a 1,5 m/s. Qual é a vazão transportada?</t>
        </is>
      </c>
      <c r="D38" s="25" t="n"/>
      <c r="E38" s="25" t="n"/>
      <c r="F38" s="25" t="n"/>
      <c r="G38" s="25" t="n"/>
      <c r="H38" s="25" t="n"/>
      <c r="K38" s="61" t="inlineStr">
        <is>
          <t>[Ex 1.2] t (texto)</t>
        </is>
      </c>
      <c r="L38" s="61" t="str">
        <f>IF(ISNUMBER($L$37),FIXED($L$37,IF(ROUND($L$37,0)=$L$37,0,IF(ROUND($L$37,1)=$L$37,1,IF(ROUND($L$37,2)=$L$37,2,IF(ROUND($L$37,3)=$L$37,3,IF(ROUND($L$37,4)=$L$37,4,IF(ROUND($L$37,5)=$L$37,5,IF(ROUND($L$37,6)=$L$37,6,7)))))))),"?")</f>
        <v>25</v>
      </c>
    </row>
    <row r="39" ht="21" customHeight="1">
      <c r="B39" s="64" t="inlineStr">
        <is>
          <t>Dados utilizados</t>
        </is>
      </c>
      <c r="C39" s="25" t="str">
        <f>"D = "&amp;$L$58&amp;" "&amp;'02 — Vazão e Hidráulica'!$C$67&amp;"   |   "&amp;"v = "&amp;$L$60&amp;" "&amp;"m/s"</f>
        <v>D = 0,3 m   |   v = 1,5 m/s</v>
      </c>
      <c r="D39" s="25" t="n"/>
      <c r="E39" s="25" t="n"/>
      <c r="F39" s="25" t="n"/>
      <c r="G39" s="25" t="n"/>
      <c r="H39" s="25" t="n"/>
      <c r="K39" s="61" t="inlineStr">
        <is>
          <t>[Ex 1.2] Qs (arredondado)</t>
        </is>
      </c>
      <c r="L39" s="61">
        <f>IFERROR(ROUND($L$31,IF($L$31=0,0,4-INT(LOG10(ABS($L$31))))),"")</f>
        <v>0.01</v>
      </c>
    </row>
    <row r="40" ht="24" customHeight="1">
      <c r="B40" s="64" t="inlineStr">
        <is>
          <t>Fórmula</t>
        </is>
      </c>
      <c r="C40" s="136" t="inlineStr">
        <is>
          <t>Q = A × v,   com   A = π × D² ÷ 4</t>
        </is>
      </c>
      <c r="D40" s="136" t="n"/>
      <c r="E40" s="136" t="n"/>
      <c r="F40" s="136" t="n"/>
      <c r="G40" s="136" t="n"/>
      <c r="H40" s="136" t="n"/>
      <c r="K40" s="61" t="inlineStr">
        <is>
          <t>[Ex 1.2] Qs (texto)</t>
        </is>
      </c>
      <c r="L40" s="61" t="str">
        <f>IF(ISNUMBER($L$39),FIXED($L$39,IF(ROUND($L$39,0)=$L$39,0,IF(ROUND($L$39,1)=$L$39,1,IF(ROUND($L$39,2)=$L$39,2,IF(ROUND($L$39,3)=$L$39,3,IF(ROUND($L$39,4)=$L$39,4,IF(ROUND($L$39,5)=$L$39,5,IF(ROUND($L$39,6)=$L$39,6,7)))))))),"?")</f>
        <v>0,01</v>
      </c>
    </row>
    <row r="41" ht="34" customHeight="1">
      <c r="B41" s="64" t="inlineStr">
        <is>
          <t>Substituição</t>
        </is>
      </c>
      <c r="C41" s="25" t="str">
        <f>"D em metros = "&amp;$L$64&amp;" m."&amp;CHAR(10)&amp;"A = π × "&amp;$L$64&amp;"² ÷ 4 = "&amp;$L$62&amp;" m²   →   Q = "&amp;$L$62&amp;" × "&amp;$L$60&amp;" = "&amp;$L$66&amp;" m³/s"</f>
        <v>D em metros = 0,3 m.
A = π × 0,3² ÷ 4 = 0,070686 m²   →   Q = 0,070686 × 1,5 = 0,10603 m³/s</v>
      </c>
      <c r="D41" s="25" t="n"/>
      <c r="E41" s="25" t="n"/>
      <c r="F41" s="25" t="n"/>
      <c r="G41" s="25" t="n"/>
      <c r="H41" s="25" t="n"/>
      <c r="K41" s="61" t="inlineStr">
        <is>
          <t>[Ex 1.2] Vm (arredondado)</t>
        </is>
      </c>
      <c r="L41" s="61">
        <f>IFERROR(ROUND($L$29,IF($L$29=0,0,4-INT(LOG10(ABS($L$29))))),"")</f>
        <v>15</v>
      </c>
    </row>
    <row r="42" ht="47" customHeight="1">
      <c r="B42" s="64" t="inlineStr">
        <is>
          <t>Resolução</t>
        </is>
      </c>
      <c r="C42" s="25" t="str">
        <f>"1) Diâmetro em metros: D = "&amp;$L$64&amp;" m."&amp;CHAR(10)&amp;"2) Área: A = π × "&amp;$L$64&amp;"² ÷ 4 = "&amp;$L$62&amp;" m²."&amp;CHAR(10)&amp;"3) Vazão: Q = A × v = "&amp;$L$62&amp;" × "&amp;$L$60&amp;" = "&amp;$L$66&amp;" m³/s (× 1000 = "&amp;$L$68&amp;" L/s)."</f>
        <v>1) Diâmetro em metros: D = 0,3 m.
2) Área: A = π × 0,3² ÷ 4 = 0,070686 m².
3) Vazão: Q = A × v = 0,070686 × 1,5 = 0,10603 m³/s (× 1000 = 106,03 L/s).</v>
      </c>
      <c r="D42" s="25" t="n"/>
      <c r="E42" s="25" t="n"/>
      <c r="F42" s="25" t="n"/>
      <c r="G42" s="25" t="n"/>
      <c r="H42" s="25" t="n"/>
      <c r="K42" s="61" t="inlineStr">
        <is>
          <t>[Ex 1.2] Vm (texto)</t>
        </is>
      </c>
      <c r="L42" s="61" t="str">
        <f>IF(ISNUMBER($L$41),FIXED($L$41,IF(ROUND($L$41,0)=$L$41,0,IF(ROUND($L$41,1)=$L$41,1,IF(ROUND($L$41,2)=$L$41,2,IF(ROUND($L$41,3)=$L$41,3,IF(ROUND($L$41,4)=$L$41,4,IF(ROUND($L$41,5)=$L$41,5,IF(ROUND($L$41,6)=$L$41,6,7)))))))),"?")</f>
        <v>15</v>
      </c>
    </row>
    <row r="43" ht="22.3" customHeight="1">
      <c r="B43" s="137" t="inlineStr">
        <is>
          <t>Resultado</t>
        </is>
      </c>
      <c r="C43" s="138" t="str">
        <f>"A = "&amp;$L$62&amp;" m²   |   Q = "&amp;$L$66&amp;" m³/s = "&amp;$L$68&amp;" L/s"</f>
        <v>A = 0,070686 m²   |   Q = 0,10603 m³/s = 106,03 L/s</v>
      </c>
      <c r="D43" s="138" t="n"/>
      <c r="E43" s="138" t="n"/>
      <c r="F43" s="138" t="n"/>
      <c r="G43" s="138" t="n"/>
      <c r="H43" s="138" t="n"/>
      <c r="K43" s="61" t="inlineStr">
        <is>
          <t>[Ex 1.2] ts (arredondado)</t>
        </is>
      </c>
      <c r="L43" s="61">
        <f>IFERROR(ROUND($L$30,IF($L$30=0,0,4-INT(LOG10(ABS($L$30))))),"")</f>
        <v>1500</v>
      </c>
    </row>
    <row r="44" ht="21" customHeight="1">
      <c r="B44" s="64" t="inlineStr">
        <is>
          <t>Explicação simples</t>
        </is>
      </c>
      <c r="C44" s="25" t="str">
        <f>"Pela seção de "&amp;$L$62&amp;" m² passam "&amp;$L$68&amp;" litros por segundo."&amp;IF(OR('02 — Vazão e Hidráulica'!$C$68&lt;0.6,'02 — Vazão e Hidráulica'!$C$68&gt;3)," Atenção: a velocidade informada está fora da faixa de referência usual em tubulações de água (cerca de 0,6 a 3 m/s). Confira o dado.","")</f>
        <v>Pela seção de 0,070686 m² passam 106,03 litros por segundo.</v>
      </c>
      <c r="D44" s="25" t="n"/>
      <c r="E44" s="25" t="n"/>
      <c r="F44" s="25" t="n"/>
      <c r="G44" s="25" t="n"/>
      <c r="H44" s="25" t="n"/>
      <c r="K44" s="61" t="inlineStr">
        <is>
          <t>[Ex 1.2] ts (texto)</t>
        </is>
      </c>
      <c r="L44" s="61" t="str">
        <f>IF(ISNUMBER($L$43),FIXED($L$43,IF(ROUND($L$43,0)=$L$43,0,IF(ROUND($L$43,1)=$L$43,1,IF(ROUND($L$43,2)=$L$43,2,IF(ROUND($L$43,3)=$L$43,3,IF(ROUND($L$43,4)=$L$43,4,IF(ROUND($L$43,5)=$L$43,5,IF(ROUND($L$43,6)=$L$43,6,7)))))))),"?")</f>
        <v>1.500</v>
      </c>
    </row>
    <row r="45" ht="32" customHeight="1">
      <c r="B45" s="103" t="inlineStr">
        <is>
          <t>Teste na calculadora</t>
        </is>
      </c>
      <c r="C45" s="104" t="inlineStr">
        <is>
          <t>Na aba 02 — Vazão e Hidráulica, vá até a Ferramenta 2 e escolha Exemplo 01 na lista Cenário. Depois troque para Meu cálculo e teste outros valores.</t>
        </is>
      </c>
      <c r="D45" s="104" t="n"/>
      <c r="E45" s="104" t="n"/>
      <c r="F45" s="104" t="n"/>
      <c r="G45" s="104" t="n"/>
      <c r="H45" s="104" t="n"/>
      <c r="K45" s="61" t="inlineStr">
        <is>
          <t>[Ex 1.2] Qd (arredondado)</t>
        </is>
      </c>
      <c r="L45" s="61">
        <f>IFERROR(ROUND($L$34,IF($L$34=0,0,4-INT(LOG10(ABS($L$34))))),"")</f>
        <v>864</v>
      </c>
    </row>
    <row r="46" ht="14" customHeight="1">
      <c r="K46" s="61" t="inlineStr">
        <is>
          <t>[Ex 1.2] Qd (texto)</t>
        </is>
      </c>
      <c r="L46" s="61" t="str">
        <f>IF(ISNUMBER($L$45),FIXED($L$45,IF(ROUND($L$45,0)=$L$45,0,IF(ROUND($L$45,1)=$L$45,1,IF(ROUND($L$45,2)=$L$45,2,IF(ROUND($L$45,3)=$L$45,3,IF(ROUND($L$45,4)=$L$45,4,IF(ROUND($L$45,5)=$L$45,5,IF(ROUND($L$45,6)=$L$45,6,7)))))))),"?")</f>
        <v>864</v>
      </c>
    </row>
    <row r="47" ht="26" customHeight="1">
      <c r="B47" s="134" t="inlineStr">
        <is>
          <t>EXEMPLO 1.4   ·   Tubo de esgoto tratado</t>
        </is>
      </c>
      <c r="C47" s="134" t="n"/>
      <c r="D47" s="134" t="n"/>
      <c r="E47" s="134" t="n"/>
      <c r="F47" s="134" t="n"/>
      <c r="G47" s="135" t="inlineStr">
        <is>
          <t>▶ Abrir na calculadora</t>
        </is>
      </c>
      <c r="H47" s="135" t="n"/>
      <c r="K47" s="61" t="inlineStr">
        <is>
          <t>[Ex 1.2] Qh (arredondado)</t>
        </is>
      </c>
      <c r="L47" s="61">
        <f>IFERROR(ROUND($L$32,IF($L$32=0,0,4-INT(LOG10(ABS($L$32))))),"")</f>
        <v>36</v>
      </c>
    </row>
    <row r="48" ht="19" customHeight="1">
      <c r="B48" s="64" t="inlineStr">
        <is>
          <t>Situação prática</t>
        </is>
      </c>
      <c r="C48" s="25" t="inlineStr">
        <is>
          <t>Um tubo com 150 mm de diâmetro interno conduz esgoto tratado a 0,8 m/s. Qual é a vazão?</t>
        </is>
      </c>
      <c r="D48" s="25" t="n"/>
      <c r="E48" s="25" t="n"/>
      <c r="F48" s="25" t="n"/>
      <c r="G48" s="25" t="n"/>
      <c r="H48" s="25" t="n"/>
      <c r="K48" s="61" t="inlineStr">
        <is>
          <t>[Ex 1.2] Qh (texto)</t>
        </is>
      </c>
      <c r="L48" s="61" t="str">
        <f>IF(ISNUMBER($L$47),FIXED($L$47,IF(ROUND($L$47,0)=$L$47,0,IF(ROUND($L$47,1)=$L$47,1,IF(ROUND($L$47,2)=$L$47,2,IF(ROUND($L$47,3)=$L$47,3,IF(ROUND($L$47,4)=$L$47,4,IF(ROUND($L$47,5)=$L$47,5,IF(ROUND($L$47,6)=$L$47,6,7)))))))),"?")</f>
        <v>36</v>
      </c>
    </row>
    <row r="49" ht="21" customHeight="1">
      <c r="B49" s="64" t="inlineStr">
        <is>
          <t>Dados utilizados</t>
        </is>
      </c>
      <c r="C49" s="25" t="str">
        <f>"D = "&amp;$L$76&amp;" "&amp;'02 — Vazão e Hidráulica'!$D$67&amp;"   |   "&amp;"v = "&amp;$L$78&amp;" "&amp;"m/s"</f>
        <v>D = 150 mm   |   v = 0,8 m/s</v>
      </c>
      <c r="D49" s="25" t="n"/>
      <c r="E49" s="25" t="n"/>
      <c r="F49" s="25" t="n"/>
      <c r="G49" s="25" t="n"/>
      <c r="H49" s="25" t="n"/>
      <c r="K49" s="61" t="inlineStr">
        <is>
          <t>[Ex 1.2] Ql (arredondado)</t>
        </is>
      </c>
      <c r="L49" s="61">
        <f>IFERROR(ROUND($L$33,IF($L$33=0,0,4-INT(LOG10(ABS($L$33))))),"")</f>
        <v>10</v>
      </c>
    </row>
    <row r="50" ht="24" customHeight="1">
      <c r="B50" s="64" t="inlineStr">
        <is>
          <t>Fórmula</t>
        </is>
      </c>
      <c r="C50" s="136" t="inlineStr">
        <is>
          <t>Q = A × v,   com   A = π × D² ÷ 4</t>
        </is>
      </c>
      <c r="D50" s="136" t="n"/>
      <c r="E50" s="136" t="n"/>
      <c r="F50" s="136" t="n"/>
      <c r="G50" s="136" t="n"/>
      <c r="H50" s="136" t="n"/>
      <c r="K50" s="61" t="inlineStr">
        <is>
          <t>[Ex 1.2] Ql (texto)</t>
        </is>
      </c>
      <c r="L50" s="61" t="str">
        <f>IF(ISNUMBER($L$49),FIXED($L$49,IF(ROUND($L$49,0)=$L$49,0,IF(ROUND($L$49,1)=$L$49,1,IF(ROUND($L$49,2)=$L$49,2,IF(ROUND($L$49,3)=$L$49,3,IF(ROUND($L$49,4)=$L$49,4,IF(ROUND($L$49,5)=$L$49,5,IF(ROUND($L$49,6)=$L$49,6,7)))))))),"?")</f>
        <v>10</v>
      </c>
    </row>
    <row r="51" ht="34" customHeight="1">
      <c r="B51" s="64" t="inlineStr">
        <is>
          <t>Substituição</t>
        </is>
      </c>
      <c r="C51" s="25" t="str">
        <f>"D em metros = "&amp;$L$82&amp;" m."&amp;CHAR(10)&amp;"A = π × "&amp;$L$82&amp;"² ÷ 4 = "&amp;$L$80&amp;" m²   →   Q = "&amp;$L$80&amp;" × "&amp;$L$78&amp;" = "&amp;$L$84&amp;" m³/s"</f>
        <v>D em metros = 0,15 m.
A = π × 0,15² ÷ 4 = 0,017671 m²   →   Q = 0,017671 × 0,8 = 0,014137 m³/s</v>
      </c>
      <c r="D51" s="25" t="n"/>
      <c r="E51" s="25" t="n"/>
      <c r="F51" s="25" t="n"/>
      <c r="G51" s="25" t="n"/>
      <c r="H51" s="25" t="n"/>
      <c r="K51" s="61" t="inlineStr">
        <is>
          <t>[Ex 1.3] fD</t>
        </is>
      </c>
      <c r="L51" s="61">
        <f>IFERROR(CHOOSE(MATCH('02 — Vazão e Hidráulica'!$C$67,{"m","cm","mm","pol"},0),1,0.01,0.001,0.0254),"")</f>
        <v>1</v>
      </c>
    </row>
    <row r="52" ht="47" customHeight="1">
      <c r="B52" s="64" t="inlineStr">
        <is>
          <t>Resolução</t>
        </is>
      </c>
      <c r="C52" s="25" t="str">
        <f>"1) Diâmetro em metros: D = "&amp;$L$82&amp;" m."&amp;CHAR(10)&amp;"2) Área: A = π × "&amp;$L$82&amp;"² ÷ 4 = "&amp;$L$80&amp;" m²."&amp;CHAR(10)&amp;"3) Vazão: Q = A × v = "&amp;$L$80&amp;" × "&amp;$L$78&amp;" = "&amp;$L$84&amp;" m³/s (× 1000 = "&amp;$L$86&amp;" L/s)."</f>
        <v>1) Diâmetro em metros: D = 0,15 m.
2) Área: A = π × 0,15² ÷ 4 = 0,017671 m².
3) Vazão: Q = A × v = 0,017671 × 0,8 = 0,014137 m³/s (× 1000 = 14,137 L/s).</v>
      </c>
      <c r="D52" s="25" t="n"/>
      <c r="E52" s="25" t="n"/>
      <c r="F52" s="25" t="n"/>
      <c r="G52" s="25" t="n"/>
      <c r="H52" s="25" t="n"/>
      <c r="K52" s="61" t="inlineStr">
        <is>
          <t>[Ex 1.3] Dm</t>
        </is>
      </c>
      <c r="L52" s="61">
        <f>IFERROR('02 — Vazão e Hidráulica'!$C$66*$L$51,"")</f>
        <v>0.3</v>
      </c>
    </row>
    <row r="53" ht="22.3" customHeight="1">
      <c r="B53" s="137" t="inlineStr">
        <is>
          <t>Resultado</t>
        </is>
      </c>
      <c r="C53" s="138" t="str">
        <f>"A = "&amp;$L$80&amp;" m²   |   Q = "&amp;$L$84&amp;" m³/s = "&amp;$L$86&amp;" L/s"</f>
        <v>A = 0,017671 m²   |   Q = 0,014137 m³/s = 14,137 L/s</v>
      </c>
      <c r="D53" s="138" t="n"/>
      <c r="E53" s="138" t="n"/>
      <c r="F53" s="138" t="n"/>
      <c r="G53" s="138" t="n"/>
      <c r="H53" s="138" t="n"/>
      <c r="K53" s="61" t="inlineStr">
        <is>
          <t>[Ex 1.3] A</t>
        </is>
      </c>
      <c r="L53" s="61">
        <f>IFERROR(PI()*$L$52^2/4,"")</f>
        <v>0.0706858347057704</v>
      </c>
    </row>
    <row r="54" ht="21" customHeight="1">
      <c r="B54" s="64" t="inlineStr">
        <is>
          <t>Explicação simples</t>
        </is>
      </c>
      <c r="C54" s="25" t="str">
        <f>"Pela seção de "&amp;$L$80&amp;" m² passam "&amp;$L$86&amp;" litros por segundo."&amp;IF(OR('02 — Vazão e Hidráulica'!$D$68&lt;0.6,'02 — Vazão e Hidráulica'!$D$68&gt;3)," Atenção: a velocidade informada está fora da faixa de referência usual em tubulações de água (cerca de 0,6 a 3 m/s). Confira o dado.","")</f>
        <v>Pela seção de 0,017671 m² passam 14,137 litros por segundo.</v>
      </c>
      <c r="D54" s="25" t="n"/>
      <c r="E54" s="25" t="n"/>
      <c r="F54" s="25" t="n"/>
      <c r="G54" s="25" t="n"/>
      <c r="H54" s="25" t="n"/>
      <c r="K54" s="61" t="inlineStr">
        <is>
          <t>[Ex 1.3] Q</t>
        </is>
      </c>
      <c r="L54" s="61">
        <f>IFERROR($L$53*'02 — Vazão e Hidráulica'!$C$68,"")</f>
        <v>0.106028752058656</v>
      </c>
    </row>
    <row r="55" ht="32" customHeight="1">
      <c r="B55" s="103" t="inlineStr">
        <is>
          <t>Teste na calculadora</t>
        </is>
      </c>
      <c r="C55" s="104" t="inlineStr">
        <is>
          <t>Na aba 02 — Vazão e Hidráulica, vá até a Ferramenta 2 e escolha Exemplo 02 na lista Cenário. Depois troque para Meu cálculo e teste outros valores.</t>
        </is>
      </c>
      <c r="D55" s="104" t="n"/>
      <c r="E55" s="104" t="n"/>
      <c r="F55" s="104" t="n"/>
      <c r="G55" s="104" t="n"/>
      <c r="H55" s="104" t="n"/>
      <c r="K55" s="61" t="inlineStr">
        <is>
          <t>[Ex 1.3] Ql</t>
        </is>
      </c>
      <c r="L55" s="61">
        <f>IFERROR($L$54*1000,"")</f>
        <v>106.028752058656</v>
      </c>
    </row>
    <row r="56" ht="14" customHeight="1">
      <c r="K56" s="61" t="inlineStr">
        <is>
          <t>[Ex 1.3] Qh</t>
        </is>
      </c>
      <c r="L56" s="61">
        <f>IFERROR($L$54*3600,"")</f>
        <v>381.70350741116</v>
      </c>
    </row>
    <row r="57" ht="26" customHeight="1">
      <c r="B57" s="134" t="inlineStr">
        <is>
          <t>EXEMPLO 1.5   ·   Velocidade em uma tubulação de 0,20 m</t>
        </is>
      </c>
      <c r="C57" s="134" t="n"/>
      <c r="D57" s="134" t="n"/>
      <c r="E57" s="134" t="n"/>
      <c r="F57" s="134" t="n"/>
      <c r="G57" s="135" t="inlineStr">
        <is>
          <t>▶ Abrir na calculadora</t>
        </is>
      </c>
      <c r="H57" s="135" t="n"/>
      <c r="K57" s="61" t="inlineStr">
        <is>
          <t>[Ex 1.3] D (arredondado)</t>
        </is>
      </c>
      <c r="L57" s="61">
        <f>IFERROR(ROUND('02 — Vazão e Hidráulica'!$C$66,IF('02 — Vazão e Hidráulica'!$C$66=0,0,4-INT(LOG10(ABS('02 — Vazão e Hidráulica'!$C$66))))),"")</f>
        <v>0.3</v>
      </c>
    </row>
    <row r="58" ht="19" customHeight="1">
      <c r="B58" s="64" t="inlineStr">
        <is>
          <t>Situação prática</t>
        </is>
      </c>
      <c r="C58" s="25" t="inlineStr">
        <is>
          <t>Uma tubulação de 0,20 m de diâmetro interno transporta 0,05 m³/s. Qual é a velocidade média?</t>
        </is>
      </c>
      <c r="D58" s="25" t="n"/>
      <c r="E58" s="25" t="n"/>
      <c r="F58" s="25" t="n"/>
      <c r="G58" s="25" t="n"/>
      <c r="H58" s="25" t="n"/>
      <c r="K58" s="61" t="inlineStr">
        <is>
          <t>[Ex 1.3] D (texto)</t>
        </is>
      </c>
      <c r="L58" s="61" t="str">
        <f>IF(ISNUMBER($L$57),FIXED($L$57,IF(ROUND($L$57,0)=$L$57,0,IF(ROUND($L$57,1)=$L$57,1,IF(ROUND($L$57,2)=$L$57,2,IF(ROUND($L$57,3)=$L$57,3,IF(ROUND($L$57,4)=$L$57,4,IF(ROUND($L$57,5)=$L$57,5,IF(ROUND($L$57,6)=$L$57,6,7)))))))),"?")</f>
        <v>0,3</v>
      </c>
    </row>
    <row r="59" ht="21" customHeight="1">
      <c r="B59" s="64" t="inlineStr">
        <is>
          <t>Dados utilizados</t>
        </is>
      </c>
      <c r="C59" s="25" t="str">
        <f>"Q = "&amp;$L$96&amp;" "&amp;'02 — Vazão e Hidráulica'!$C$102&amp;"   |   "&amp;"D = "&amp;$L$94&amp;" "&amp;'02 — Vazão e Hidráulica'!$C$104</f>
        <v>Q = 0,05 m³/s   |   D = 0,2 m</v>
      </c>
      <c r="D59" s="25" t="n"/>
      <c r="E59" s="25" t="n"/>
      <c r="F59" s="25" t="n"/>
      <c r="G59" s="25" t="n"/>
      <c r="H59" s="25" t="n"/>
      <c r="K59" s="61" t="inlineStr">
        <is>
          <t>[Ex 1.3] v (arredondado)</t>
        </is>
      </c>
      <c r="L59" s="61">
        <f>IFERROR(ROUND('02 — Vazão e Hidráulica'!$C$68,IF('02 — Vazão e Hidráulica'!$C$68=0,0,4-INT(LOG10(ABS('02 — Vazão e Hidráulica'!$C$68))))),"")</f>
        <v>1.5</v>
      </c>
    </row>
    <row r="60" ht="24" customHeight="1">
      <c r="B60" s="64" t="inlineStr">
        <is>
          <t>Fórmula</t>
        </is>
      </c>
      <c r="C60" s="136" t="inlineStr">
        <is>
          <t>v = Q ÷ A,   com   A = π × D² ÷ 4</t>
        </is>
      </c>
      <c r="D60" s="136" t="n"/>
      <c r="E60" s="136" t="n"/>
      <c r="F60" s="136" t="n"/>
      <c r="G60" s="136" t="n"/>
      <c r="H60" s="136" t="n"/>
      <c r="K60" s="61" t="inlineStr">
        <is>
          <t>[Ex 1.3] v (texto)</t>
        </is>
      </c>
      <c r="L60" s="61" t="str">
        <f>IF(ISNUMBER($L$59),FIXED($L$59,IF(ROUND($L$59,0)=$L$59,0,IF(ROUND($L$59,1)=$L$59,1,IF(ROUND($L$59,2)=$L$59,2,IF(ROUND($L$59,3)=$L$59,3,IF(ROUND($L$59,4)=$L$59,4,IF(ROUND($L$59,5)=$L$59,5,IF(ROUND($L$59,6)=$L$59,6,7)))))))),"?")</f>
        <v>1,5</v>
      </c>
    </row>
    <row r="61" ht="34" customHeight="1">
      <c r="B61" s="64" t="inlineStr">
        <is>
          <t>Substituição</t>
        </is>
      </c>
      <c r="C61" s="25" t="str">
        <f>"Q = "&amp;$L$102&amp;" m³/s e D = "&amp;$L$100&amp;" m."&amp;CHAR(10)&amp;"A = π × "&amp;$L$100&amp;"² ÷ 4 = "&amp;$L$98&amp;" m²   →   v = "&amp;$L$102&amp;" ÷ "&amp;$L$98&amp;" = "&amp;$L$104&amp;" m/s"</f>
        <v>Q = 0,05 m³/s e D = 0,2 m.
A = π × 0,2² ÷ 4 = 0,031416 m²   →   v = 0,05 ÷ 0,031416 = 1,5915 m/s</v>
      </c>
      <c r="D61" s="25" t="n"/>
      <c r="E61" s="25" t="n"/>
      <c r="F61" s="25" t="n"/>
      <c r="G61" s="25" t="n"/>
      <c r="H61" s="25" t="n"/>
      <c r="K61" s="61" t="inlineStr">
        <is>
          <t>[Ex 1.3] A (arredondado)</t>
        </is>
      </c>
      <c r="L61" s="61">
        <f>IFERROR(ROUND($L$53,IF($L$53=0,0,4-INT(LOG10(ABS($L$53))))),"")</f>
        <v>0.070686</v>
      </c>
    </row>
    <row r="62" ht="47" customHeight="1">
      <c r="B62" s="64" t="inlineStr">
        <is>
          <t>Resolução</t>
        </is>
      </c>
      <c r="C62" s="25" t="str">
        <f>"1) Converter: Q = "&amp;$L$102&amp;" m³/s e D = "&amp;$L$100&amp;" m."&amp;CHAR(10)&amp;"2) Área: A = π × "&amp;$L$100&amp;"² ÷ 4 = "&amp;$L$98&amp;" m²."&amp;CHAR(10)&amp;"3) Velocidade: v = Q ÷ A = "&amp;$L$102&amp;" ÷ "&amp;$L$98&amp;" = "&amp;$L$104&amp;" m/s."</f>
        <v>1) Converter: Q = 0,05 m³/s e D = 0,2 m.
2) Área: A = π × 0,2² ÷ 4 = 0,031416 m².
3) Velocidade: v = Q ÷ A = 0,05 ÷ 0,031416 = 1,5915 m/s.</v>
      </c>
      <c r="D62" s="25" t="n"/>
      <c r="E62" s="25" t="n"/>
      <c r="F62" s="25" t="n"/>
      <c r="G62" s="25" t="n"/>
      <c r="H62" s="25" t="n"/>
      <c r="K62" s="61" t="inlineStr">
        <is>
          <t>[Ex 1.3] A (texto)</t>
        </is>
      </c>
      <c r="L62" s="61" t="str">
        <f>IF(ISNUMBER($L$61),FIXED($L$61,IF(ROUND($L$61,0)=$L$61,0,IF(ROUND($L$61,1)=$L$61,1,IF(ROUND($L$61,2)=$L$61,2,IF(ROUND($L$61,3)=$L$61,3,IF(ROUND($L$61,4)=$L$61,4,IF(ROUND($L$61,5)=$L$61,5,IF(ROUND($L$61,6)=$L$61,6,7)))))))),"?")</f>
        <v>0,070686</v>
      </c>
    </row>
    <row r="63" ht="22.3" customHeight="1">
      <c r="B63" s="137" t="inlineStr">
        <is>
          <t>Resultado</t>
        </is>
      </c>
      <c r="C63" s="138" t="str">
        <f>"v = "&amp;$L$104&amp;" m/s"</f>
        <v>v = 1,5915 m/s</v>
      </c>
      <c r="D63" s="138" t="n"/>
      <c r="E63" s="138" t="n"/>
      <c r="F63" s="138" t="n"/>
      <c r="G63" s="138" t="n"/>
      <c r="H63" s="138" t="n"/>
      <c r="K63" s="61" t="inlineStr">
        <is>
          <t>[Ex 1.3] Dm (arredondado)</t>
        </is>
      </c>
      <c r="L63" s="61">
        <f>IFERROR(ROUND($L$52,IF($L$52=0,0,4-INT(LOG10(ABS($L$52))))),"")</f>
        <v>0.3</v>
      </c>
    </row>
    <row r="64" ht="34" customHeight="1">
      <c r="B64" s="64" t="inlineStr">
        <is>
          <t>Explicação simples</t>
        </is>
      </c>
      <c r="C64" s="25" t="str">
        <f>"O líquido percorre "&amp;$L$104&amp;" metros a cada segundo dentro do tubo."&amp;IF($L$92&lt;0.6," A velocidade está abaixo de 0,6 m/s: valores baixos favorecem o depósito de sólidos.",IF($L$92&gt;3," A velocidade está acima de 3 m/s: valores altos aumentam a perda de carga e o risco de golpe de aríete."," A velocidade está dentro da faixa de referência usual (cerca de 0,6 a 3 m/s)."))</f>
        <v>O líquido percorre 1,5915 metros a cada segundo dentro do tubo. A velocidade está dentro da faixa de referência usual (cerca de 0,6 a 3 m/s).</v>
      </c>
      <c r="D64" s="25" t="n"/>
      <c r="E64" s="25" t="n"/>
      <c r="F64" s="25" t="n"/>
      <c r="G64" s="25" t="n"/>
      <c r="H64" s="25" t="n"/>
      <c r="K64" s="61" t="inlineStr">
        <is>
          <t>[Ex 1.3] Dm (texto)</t>
        </is>
      </c>
      <c r="L64" s="61" t="str">
        <f>IF(ISNUMBER($L$63),FIXED($L$63,IF(ROUND($L$63,0)=$L$63,0,IF(ROUND($L$63,1)=$L$63,1,IF(ROUND($L$63,2)=$L$63,2,IF(ROUND($L$63,3)=$L$63,3,IF(ROUND($L$63,4)=$L$63,4,IF(ROUND($L$63,5)=$L$63,5,IF(ROUND($L$63,6)=$L$63,6,7)))))))),"?")</f>
        <v>0,3</v>
      </c>
    </row>
    <row r="65" ht="32" customHeight="1">
      <c r="B65" s="103" t="inlineStr">
        <is>
          <t>Teste na calculadora</t>
        </is>
      </c>
      <c r="C65" s="104" t="inlineStr">
        <is>
          <t>Na aba 02 — Vazão e Hidráulica, vá até a Ferramenta 3 e escolha Exemplo 01 na lista Cenário. Depois troque para Meu cálculo e teste outros valores.</t>
        </is>
      </c>
      <c r="D65" s="104" t="n"/>
      <c r="E65" s="104" t="n"/>
      <c r="F65" s="104" t="n"/>
      <c r="G65" s="104" t="n"/>
      <c r="H65" s="104" t="n"/>
      <c r="K65" s="61" t="inlineStr">
        <is>
          <t>[Ex 1.3] Q (arredondado)</t>
        </is>
      </c>
      <c r="L65" s="61">
        <f>IFERROR(ROUND($L$54,IF($L$54=0,0,4-INT(LOG10(ABS($L$54))))),"")</f>
        <v>0.10603</v>
      </c>
    </row>
    <row r="66" ht="14" customHeight="1">
      <c r="K66" s="61" t="inlineStr">
        <is>
          <t>[Ex 1.3] Q (texto)</t>
        </is>
      </c>
      <c r="L66" s="61" t="str">
        <f>IF(ISNUMBER($L$65),FIXED($L$65,IF(ROUND($L$65,0)=$L$65,0,IF(ROUND($L$65,1)=$L$65,1,IF(ROUND($L$65,2)=$L$65,2,IF(ROUND($L$65,3)=$L$65,3,IF(ROUND($L$65,4)=$L$65,4,IF(ROUND($L$65,5)=$L$65,5,IF(ROUND($L$65,6)=$L$65,6,7)))))))),"?")</f>
        <v>0,10603</v>
      </c>
    </row>
    <row r="67" ht="26" customHeight="1">
      <c r="B67" s="134" t="inlineStr">
        <is>
          <t>EXEMPLO 1.6   ·   Linha de recalque de 100 mm</t>
        </is>
      </c>
      <c r="C67" s="134" t="n"/>
      <c r="D67" s="134" t="n"/>
      <c r="E67" s="134" t="n"/>
      <c r="F67" s="134" t="n"/>
      <c r="G67" s="135" t="inlineStr">
        <is>
          <t>▶ Abrir na calculadora</t>
        </is>
      </c>
      <c r="H67" s="135" t="n"/>
      <c r="K67" s="61" t="inlineStr">
        <is>
          <t>[Ex 1.3] Ql (arredondado)</t>
        </is>
      </c>
      <c r="L67" s="61">
        <f>IFERROR(ROUND($L$55,IF($L$55=0,0,4-INT(LOG10(ABS($L$55))))),"")</f>
        <v>106.03</v>
      </c>
    </row>
    <row r="68" ht="19" customHeight="1">
      <c r="B68" s="64" t="inlineStr">
        <is>
          <t>Situação prática</t>
        </is>
      </c>
      <c r="C68" s="25" t="inlineStr">
        <is>
          <t>Uma linha de recalque com 100 mm de diâmetro interno recebe 20 L/s. Qual é a velocidade?</t>
        </is>
      </c>
      <c r="D68" s="25" t="n"/>
      <c r="E68" s="25" t="n"/>
      <c r="F68" s="25" t="n"/>
      <c r="G68" s="25" t="n"/>
      <c r="H68" s="25" t="n"/>
      <c r="K68" s="61" t="inlineStr">
        <is>
          <t>[Ex 1.3] Ql (texto)</t>
        </is>
      </c>
      <c r="L68" s="61" t="str">
        <f>IF(ISNUMBER($L$67),FIXED($L$67,IF(ROUND($L$67,0)=$L$67,0,IF(ROUND($L$67,1)=$L$67,1,IF(ROUND($L$67,2)=$L$67,2,IF(ROUND($L$67,3)=$L$67,3,IF(ROUND($L$67,4)=$L$67,4,IF(ROUND($L$67,5)=$L$67,5,IF(ROUND($L$67,6)=$L$67,6,7)))))))),"?")</f>
        <v>106,03</v>
      </c>
    </row>
    <row r="69" ht="21" customHeight="1">
      <c r="B69" s="64" t="inlineStr">
        <is>
          <t>Dados utilizados</t>
        </is>
      </c>
      <c r="C69" s="25" t="str">
        <f>"Q = "&amp;$L$114&amp;" "&amp;'02 — Vazão e Hidráulica'!$D$102&amp;"   |   "&amp;"D = "&amp;$L$112&amp;" "&amp;'02 — Vazão e Hidráulica'!$D$104</f>
        <v>Q = 20 L/s   |   D = 100 mm</v>
      </c>
      <c r="D69" s="25" t="n"/>
      <c r="E69" s="25" t="n"/>
      <c r="F69" s="25" t="n"/>
      <c r="G69" s="25" t="n"/>
      <c r="H69" s="25" t="n"/>
      <c r="K69" s="61" t="inlineStr">
        <is>
          <t>[Ex 1.4] fD</t>
        </is>
      </c>
      <c r="L69" s="61">
        <f>IFERROR(CHOOSE(MATCH('02 — Vazão e Hidráulica'!$D$67,{"m","cm","mm","pol"},0),1,0.01,0.001,0.0254),"")</f>
        <v>0.001</v>
      </c>
    </row>
    <row r="70" ht="24" customHeight="1">
      <c r="B70" s="64" t="inlineStr">
        <is>
          <t>Fórmula</t>
        </is>
      </c>
      <c r="C70" s="136" t="inlineStr">
        <is>
          <t>v = Q ÷ A,   com   A = π × D² ÷ 4</t>
        </is>
      </c>
      <c r="D70" s="136" t="n"/>
      <c r="E70" s="136" t="n"/>
      <c r="F70" s="136" t="n"/>
      <c r="G70" s="136" t="n"/>
      <c r="H70" s="136" t="n"/>
      <c r="K70" s="61" t="inlineStr">
        <is>
          <t>[Ex 1.4] Dm</t>
        </is>
      </c>
      <c r="L70" s="61">
        <f>IFERROR('02 — Vazão e Hidráulica'!$D$66*$L$69,"")</f>
        <v>0.15</v>
      </c>
    </row>
    <row r="71" ht="34" customHeight="1">
      <c r="B71" s="64" t="inlineStr">
        <is>
          <t>Substituição</t>
        </is>
      </c>
      <c r="C71" s="25" t="str">
        <f>"Q = "&amp;$L$120&amp;" m³/s e D = "&amp;$L$118&amp;" m."&amp;CHAR(10)&amp;"A = π × "&amp;$L$118&amp;"² ÷ 4 = "&amp;$L$116&amp;" m²   →   v = "&amp;$L$120&amp;" ÷ "&amp;$L$116&amp;" = "&amp;$L$122&amp;" m/s"</f>
        <v>Q = 0,02 m³/s e D = 0,1 m.
A = π × 0,1² ÷ 4 = 0,007854 m²   →   v = 0,02 ÷ 0,007854 = 2,5465 m/s</v>
      </c>
      <c r="D71" s="25" t="n"/>
      <c r="E71" s="25" t="n"/>
      <c r="F71" s="25" t="n"/>
      <c r="G71" s="25" t="n"/>
      <c r="H71" s="25" t="n"/>
      <c r="K71" s="61" t="inlineStr">
        <is>
          <t>[Ex 1.4] A</t>
        </is>
      </c>
      <c r="L71" s="61">
        <f>IFERROR(PI()*$L$70^2/4,"")</f>
        <v>0.0176714586764426</v>
      </c>
    </row>
    <row r="72" ht="47" customHeight="1">
      <c r="B72" s="64" t="inlineStr">
        <is>
          <t>Resolução</t>
        </is>
      </c>
      <c r="C72" s="25" t="str">
        <f>"1) Converter: Q = "&amp;$L$120&amp;" m³/s e D = "&amp;$L$118&amp;" m."&amp;CHAR(10)&amp;"2) Área: A = π × "&amp;$L$118&amp;"² ÷ 4 = "&amp;$L$116&amp;" m²."&amp;CHAR(10)&amp;"3) Velocidade: v = Q ÷ A = "&amp;$L$120&amp;" ÷ "&amp;$L$116&amp;" = "&amp;$L$122&amp;" m/s."</f>
        <v>1) Converter: Q = 0,02 m³/s e D = 0,1 m.
2) Área: A = π × 0,1² ÷ 4 = 0,007854 m².
3) Velocidade: v = Q ÷ A = 0,02 ÷ 0,007854 = 2,5465 m/s.</v>
      </c>
      <c r="D72" s="25" t="n"/>
      <c r="E72" s="25" t="n"/>
      <c r="F72" s="25" t="n"/>
      <c r="G72" s="25" t="n"/>
      <c r="H72" s="25" t="n"/>
      <c r="K72" s="61" t="inlineStr">
        <is>
          <t>[Ex 1.4] Q</t>
        </is>
      </c>
      <c r="L72" s="61">
        <f>IFERROR($L$71*'02 — Vazão e Hidráulica'!$D$68,"")</f>
        <v>0.0141371669411541</v>
      </c>
    </row>
    <row r="73" ht="22.3" customHeight="1">
      <c r="B73" s="137" t="inlineStr">
        <is>
          <t>Resultado</t>
        </is>
      </c>
      <c r="C73" s="138" t="str">
        <f>"v = "&amp;$L$122&amp;" m/s"</f>
        <v>v = 2,5465 m/s</v>
      </c>
      <c r="D73" s="138" t="n"/>
      <c r="E73" s="138" t="n"/>
      <c r="F73" s="138" t="n"/>
      <c r="G73" s="138" t="n"/>
      <c r="H73" s="138" t="n"/>
      <c r="K73" s="61" t="inlineStr">
        <is>
          <t>[Ex 1.4] Ql</t>
        </is>
      </c>
      <c r="L73" s="61">
        <f>IFERROR($L$72*1000,"")</f>
        <v>14.1371669411541</v>
      </c>
    </row>
    <row r="74" ht="34" customHeight="1">
      <c r="B74" s="64" t="inlineStr">
        <is>
          <t>Explicação simples</t>
        </is>
      </c>
      <c r="C74" s="25" t="str">
        <f>"O líquido percorre "&amp;$L$122&amp;" metros a cada segundo dentro do tubo."&amp;IF($L$110&lt;0.6," A velocidade está abaixo de 0,6 m/s: valores baixos favorecem o depósito de sólidos.",IF($L$110&gt;3," A velocidade está acima de 3 m/s: valores altos aumentam a perda de carga e o risco de golpe de aríete."," A velocidade está dentro da faixa de referência usual (cerca de 0,6 a 3 m/s)."))</f>
        <v>O líquido percorre 2,5465 metros a cada segundo dentro do tubo. A velocidade está dentro da faixa de referência usual (cerca de 0,6 a 3 m/s).</v>
      </c>
      <c r="D74" s="25" t="n"/>
      <c r="E74" s="25" t="n"/>
      <c r="F74" s="25" t="n"/>
      <c r="G74" s="25" t="n"/>
      <c r="H74" s="25" t="n"/>
      <c r="K74" s="61" t="inlineStr">
        <is>
          <t>[Ex 1.4] Qh</t>
        </is>
      </c>
      <c r="L74" s="61">
        <f>IFERROR($L$72*3600,"")</f>
        <v>50.8938009881547</v>
      </c>
    </row>
    <row r="75" ht="32" customHeight="1">
      <c r="B75" s="103" t="inlineStr">
        <is>
          <t>Teste na calculadora</t>
        </is>
      </c>
      <c r="C75" s="104" t="inlineStr">
        <is>
          <t>Na aba 02 — Vazão e Hidráulica, vá até a Ferramenta 3 e escolha Exemplo 02 na lista Cenário. Depois troque para Meu cálculo e teste outros valores.</t>
        </is>
      </c>
      <c r="D75" s="104" t="n"/>
      <c r="E75" s="104" t="n"/>
      <c r="F75" s="104" t="n"/>
      <c r="G75" s="104" t="n"/>
      <c r="H75" s="104" t="n"/>
      <c r="K75" s="61" t="inlineStr">
        <is>
          <t>[Ex 1.4] D (arredondado)</t>
        </is>
      </c>
      <c r="L75" s="61">
        <f>IFERROR(ROUND('02 — Vazão e Hidráulica'!$D$66,IF('02 — Vazão e Hidráulica'!$D$66=0,0,4-INT(LOG10(ABS('02 — Vazão e Hidráulica'!$D$66))))),"")</f>
        <v>150</v>
      </c>
    </row>
    <row r="76" ht="14" customHeight="1">
      <c r="K76" s="61" t="inlineStr">
        <is>
          <t>[Ex 1.4] D (texto)</t>
        </is>
      </c>
      <c r="L76" s="61" t="str">
        <f>IF(ISNUMBER($L$75),FIXED($L$75,IF(ROUND($L$75,0)=$L$75,0,IF(ROUND($L$75,1)=$L$75,1,IF(ROUND($L$75,2)=$L$75,2,IF(ROUND($L$75,3)=$L$75,3,IF(ROUND($L$75,4)=$L$75,4,IF(ROUND($L$75,5)=$L$75,5,IF(ROUND($L$75,6)=$L$75,6,7)))))))),"?")</f>
        <v>150</v>
      </c>
    </row>
    <row r="77" ht="26" customHeight="1">
      <c r="B77" s="134" t="inlineStr">
        <is>
          <t>EXEMPLO 1.7   ·   Tanque de equalização</t>
        </is>
      </c>
      <c r="C77" s="134" t="n"/>
      <c r="D77" s="134" t="n"/>
      <c r="E77" s="134" t="n"/>
      <c r="F77" s="134" t="n"/>
      <c r="G77" s="135" t="inlineStr">
        <is>
          <t>▶ Abrir na calculadora</t>
        </is>
      </c>
      <c r="H77" s="135" t="n"/>
      <c r="K77" s="61" t="inlineStr">
        <is>
          <t>[Ex 1.4] v (arredondado)</t>
        </is>
      </c>
      <c r="L77" s="61">
        <f>IFERROR(ROUND('02 — Vazão e Hidráulica'!$D$68,IF('02 — Vazão e Hidráulica'!$D$68=0,0,4-INT(LOG10(ABS('02 — Vazão e Hidráulica'!$D$68))))),"")</f>
        <v>0.8</v>
      </c>
    </row>
    <row r="78" ht="32" customHeight="1">
      <c r="B78" s="64" t="inlineStr">
        <is>
          <t>Situação prática</t>
        </is>
      </c>
      <c r="C78" s="25" t="inlineStr">
        <is>
          <t>Um tanque de equalização tem volume útil de 500 m³ e recebe 50 m³/h. Quanto tempo o efluente fica no tanque?</t>
        </is>
      </c>
      <c r="D78" s="25" t="n"/>
      <c r="E78" s="25" t="n"/>
      <c r="F78" s="25" t="n"/>
      <c r="G78" s="25" t="n"/>
      <c r="H78" s="25" t="n"/>
      <c r="K78" s="61" t="inlineStr">
        <is>
          <t>[Ex 1.4] v (texto)</t>
        </is>
      </c>
      <c r="L78" s="61" t="str">
        <f>IF(ISNUMBER($L$77),FIXED($L$77,IF(ROUND($L$77,0)=$L$77,0,IF(ROUND($L$77,1)=$L$77,1,IF(ROUND($L$77,2)=$L$77,2,IF(ROUND($L$77,3)=$L$77,3,IF(ROUND($L$77,4)=$L$77,4,IF(ROUND($L$77,5)=$L$77,5,IF(ROUND($L$77,6)=$L$77,6,7)))))))),"?")</f>
        <v>0,8</v>
      </c>
    </row>
    <row r="79" ht="21" customHeight="1">
      <c r="B79" s="64" t="inlineStr">
        <is>
          <t>Dados utilizados</t>
        </is>
      </c>
      <c r="C79" s="25" t="str">
        <f>"V = "&amp;$L$133&amp;" "&amp;'02 — Vazão e Hidráulica'!$C$138&amp;"   |   "&amp;"Q = "&amp;$L$131&amp;" "&amp;'02 — Vazão e Hidráulica'!$C$140</f>
        <v>V = 500 m³   |   Q = 50 m³/h</v>
      </c>
      <c r="D79" s="25" t="n"/>
      <c r="E79" s="25" t="n"/>
      <c r="F79" s="25" t="n"/>
      <c r="G79" s="25" t="n"/>
      <c r="H79" s="25" t="n"/>
      <c r="K79" s="61" t="inlineStr">
        <is>
          <t>[Ex 1.4] A (arredondado)</t>
        </is>
      </c>
      <c r="L79" s="61">
        <f>IFERROR(ROUND($L$71,IF($L$71=0,0,4-INT(LOG10(ABS($L$71))))),"")</f>
        <v>0.017671</v>
      </c>
    </row>
    <row r="80" ht="24" customHeight="1">
      <c r="B80" s="64" t="inlineStr">
        <is>
          <t>Fórmula</t>
        </is>
      </c>
      <c r="C80" s="136" t="inlineStr">
        <is>
          <t>TDH = V ÷ Q</t>
        </is>
      </c>
      <c r="D80" s="136" t="n"/>
      <c r="E80" s="136" t="n"/>
      <c r="F80" s="136" t="n"/>
      <c r="G80" s="136" t="n"/>
      <c r="H80" s="136" t="n"/>
      <c r="K80" s="61" t="inlineStr">
        <is>
          <t>[Ex 1.4] A (texto)</t>
        </is>
      </c>
      <c r="L80" s="61" t="str">
        <f>IF(ISNUMBER($L$79),FIXED($L$79,IF(ROUND($L$79,0)=$L$79,0,IF(ROUND($L$79,1)=$L$79,1,IF(ROUND($L$79,2)=$L$79,2,IF(ROUND($L$79,3)=$L$79,3,IF(ROUND($L$79,4)=$L$79,4,IF(ROUND($L$79,5)=$L$79,5,IF(ROUND($L$79,6)=$L$79,6,7)))))))),"?")</f>
        <v>0,017671</v>
      </c>
    </row>
    <row r="81" ht="34" customHeight="1">
      <c r="B81" s="64" t="inlineStr">
        <is>
          <t>Substituição</t>
        </is>
      </c>
      <c r="C81" s="25" t="str">
        <f>"V = "&amp;$L$137&amp;" m³ e Q = "&amp;$L$135&amp;" m³/h."&amp;CHAR(10)&amp;"TDH = "&amp;$L$137&amp;" ÷ "&amp;$L$135&amp;" = "&amp;$L$139&amp;" h"</f>
        <v>V = 500 m³ e Q = 50 m³/h.
TDH = 500 ÷ 50 = 10 h</v>
      </c>
      <c r="D81" s="25" t="n"/>
      <c r="E81" s="25" t="n"/>
      <c r="F81" s="25" t="n"/>
      <c r="G81" s="25" t="n"/>
      <c r="H81" s="25" t="n"/>
      <c r="K81" s="61" t="inlineStr">
        <is>
          <t>[Ex 1.4] Dm (arredondado)</t>
        </is>
      </c>
      <c r="L81" s="61">
        <f>IFERROR(ROUND($L$70,IF($L$70=0,0,4-INT(LOG10(ABS($L$70))))),"")</f>
        <v>0.15</v>
      </c>
    </row>
    <row r="82" ht="47" customHeight="1">
      <c r="B82" s="64" t="inlineStr">
        <is>
          <t>Resolução</t>
        </is>
      </c>
      <c r="C82" s="25" t="str">
        <f>"1) Converter: V = "&amp;$L$137&amp;" m³ e Q = "&amp;$L$135&amp;" m³/h."&amp;CHAR(10)&amp;"2) TDH = V ÷ Q = "&amp;$L$137&amp;" ÷ "&amp;$L$135&amp;" = "&amp;$L$139&amp;" h."&amp;CHAR(10)&amp;"3) Em minutos: "&amp;$L$139&amp;" × 60 = "&amp;$L$141&amp;" min."</f>
        <v>1) Converter: V = 500 m³ e Q = 50 m³/h.
2) TDH = V ÷ Q = 500 ÷ 50 = 10 h.
3) Em minutos: 10 × 60 = 600 min.</v>
      </c>
      <c r="D82" s="25" t="n"/>
      <c r="E82" s="25" t="n"/>
      <c r="F82" s="25" t="n"/>
      <c r="G82" s="25" t="n"/>
      <c r="H82" s="25" t="n"/>
      <c r="K82" s="61" t="inlineStr">
        <is>
          <t>[Ex 1.4] Dm (texto)</t>
        </is>
      </c>
      <c r="L82" s="61" t="str">
        <f>IF(ISNUMBER($L$81),FIXED($L$81,IF(ROUND($L$81,0)=$L$81,0,IF(ROUND($L$81,1)=$L$81,1,IF(ROUND($L$81,2)=$L$81,2,IF(ROUND($L$81,3)=$L$81,3,IF(ROUND($L$81,4)=$L$81,4,IF(ROUND($L$81,5)=$L$81,5,IF(ROUND($L$81,6)=$L$81,6,7)))))))),"?")</f>
        <v>0,15</v>
      </c>
    </row>
    <row r="83" ht="22.3" customHeight="1">
      <c r="B83" s="137" t="inlineStr">
        <is>
          <t>Resultado</t>
        </is>
      </c>
      <c r="C83" s="138" t="str">
        <f>"TDH = "&amp;$L$139&amp;" h = "&amp;$L$141&amp;" min"</f>
        <v>TDH = 10 h = 600 min</v>
      </c>
      <c r="D83" s="138" t="n"/>
      <c r="E83" s="138" t="n"/>
      <c r="F83" s="138" t="n"/>
      <c r="G83" s="138" t="n"/>
      <c r="H83" s="138" t="n"/>
      <c r="K83" s="61" t="inlineStr">
        <is>
          <t>[Ex 1.4] Q (arredondado)</t>
        </is>
      </c>
      <c r="L83" s="61">
        <f>IFERROR(ROUND($L$72,IF($L$72=0,0,4-INT(LOG10(ABS($L$72))))),"")</f>
        <v>0.014137</v>
      </c>
    </row>
    <row r="84" ht="21" customHeight="1">
      <c r="B84" s="64" t="inlineStr">
        <is>
          <t>Explicação simples</t>
        </is>
      </c>
      <c r="C84" s="25" t="str">
        <f>"Em média, cada porção de líquido fica "&amp;$L$139&amp;" horas ("&amp;$L$141&amp;" minutos) dentro da unidade antes de sair."</f>
        <v>Em média, cada porção de líquido fica 10 horas (600 minutos) dentro da unidade antes de sair.</v>
      </c>
      <c r="D84" s="25" t="n"/>
      <c r="E84" s="25" t="n"/>
      <c r="F84" s="25" t="n"/>
      <c r="G84" s="25" t="n"/>
      <c r="H84" s="25" t="n"/>
      <c r="K84" s="61" t="inlineStr">
        <is>
          <t>[Ex 1.4] Q (texto)</t>
        </is>
      </c>
      <c r="L84" s="61" t="str">
        <f>IF(ISNUMBER($L$83),FIXED($L$83,IF(ROUND($L$83,0)=$L$83,0,IF(ROUND($L$83,1)=$L$83,1,IF(ROUND($L$83,2)=$L$83,2,IF(ROUND($L$83,3)=$L$83,3,IF(ROUND($L$83,4)=$L$83,4,IF(ROUND($L$83,5)=$L$83,5,IF(ROUND($L$83,6)=$L$83,6,7)))))))),"?")</f>
        <v>0,014137</v>
      </c>
    </row>
    <row r="85" ht="32" customHeight="1">
      <c r="B85" s="103" t="inlineStr">
        <is>
          <t>Teste na calculadora</t>
        </is>
      </c>
      <c r="C85" s="104" t="inlineStr">
        <is>
          <t>Na aba 02 — Vazão e Hidráulica, vá até a Ferramenta 4 e escolha Exemplo 01 na lista Cenário. Depois troque para Meu cálculo e teste outros valores.</t>
        </is>
      </c>
      <c r="D85" s="104" t="n"/>
      <c r="E85" s="104" t="n"/>
      <c r="F85" s="104" t="n"/>
      <c r="G85" s="104" t="n"/>
      <c r="H85" s="104" t="n"/>
      <c r="K85" s="61" t="inlineStr">
        <is>
          <t>[Ex 1.4] Ql (arredondado)</t>
        </is>
      </c>
      <c r="L85" s="61">
        <f>IFERROR(ROUND($L$73,IF($L$73=0,0,4-INT(LOG10(ABS($L$73))))),"")</f>
        <v>14.137</v>
      </c>
    </row>
    <row r="86" ht="14" customHeight="1">
      <c r="K86" s="61" t="inlineStr">
        <is>
          <t>[Ex 1.4] Ql (texto)</t>
        </is>
      </c>
      <c r="L86" s="61" t="str">
        <f>IF(ISNUMBER($L$85),FIXED($L$85,IF(ROUND($L$85,0)=$L$85,0,IF(ROUND($L$85,1)=$L$85,1,IF(ROUND($L$85,2)=$L$85,2,IF(ROUND($L$85,3)=$L$85,3,IF(ROUND($L$85,4)=$L$85,4,IF(ROUND($L$85,5)=$L$85,5,IF(ROUND($L$85,6)=$L$85,6,7)))))))),"?")</f>
        <v>14,137</v>
      </c>
    </row>
    <row r="87" ht="26" customHeight="1">
      <c r="B87" s="134" t="inlineStr">
        <is>
          <t>EXEMPLO 1.8   ·   Lagoa de estabilização</t>
        </is>
      </c>
      <c r="C87" s="134" t="n"/>
      <c r="D87" s="134" t="n"/>
      <c r="E87" s="134" t="n"/>
      <c r="F87" s="134" t="n"/>
      <c r="G87" s="135" t="inlineStr">
        <is>
          <t>▶ Abrir na calculadora</t>
        </is>
      </c>
      <c r="H87" s="135" t="n"/>
      <c r="K87" s="61" t="inlineStr">
        <is>
          <t>[Ex 1.5] fQ</t>
        </is>
      </c>
      <c r="L87" s="61">
        <f>IFERROR(CHOOSE(MATCH('02 — Vazão e Hidráulica'!$C$102,{"m³/s","L/s","m³/h","m³/dia"},0),1,0.001,1/3600,1/86400),"")</f>
        <v>1</v>
      </c>
    </row>
    <row r="88" ht="19" customHeight="1">
      <c r="B88" s="64" t="inlineStr">
        <is>
          <t>Situação prática</t>
        </is>
      </c>
      <c r="C88" s="25" t="inlineStr">
        <is>
          <t>Uma lagoa com 1.200 m³ de volume útil recebe 4.800 m³/dia. Qual é o tempo de detenção?</t>
        </is>
      </c>
      <c r="D88" s="25" t="n"/>
      <c r="E88" s="25" t="n"/>
      <c r="F88" s="25" t="n"/>
      <c r="G88" s="25" t="n"/>
      <c r="H88" s="25" t="n"/>
      <c r="K88" s="61" t="inlineStr">
        <is>
          <t>[Ex 1.5] Qs</t>
        </is>
      </c>
      <c r="L88" s="61">
        <f>IFERROR('02 — Vazão e Hidráulica'!$C$101*$L$87,"")</f>
        <v>0.05</v>
      </c>
    </row>
    <row r="89" ht="21" customHeight="1">
      <c r="B89" s="64" t="inlineStr">
        <is>
          <t>Dados utilizados</t>
        </is>
      </c>
      <c r="C89" s="25" t="str">
        <f>"V = "&amp;$L$152&amp;" "&amp;'02 — Vazão e Hidráulica'!$D$138&amp;"   |   "&amp;"Q = "&amp;$L$150&amp;" "&amp;'02 — Vazão e Hidráulica'!$D$140</f>
        <v>V = 1.200 m³   |   Q = 4.800 m³/dia</v>
      </c>
      <c r="D89" s="25" t="n"/>
      <c r="E89" s="25" t="n"/>
      <c r="F89" s="25" t="n"/>
      <c r="G89" s="25" t="n"/>
      <c r="H89" s="25" t="n"/>
      <c r="K89" s="61" t="inlineStr">
        <is>
          <t>[Ex 1.5] fD</t>
        </is>
      </c>
      <c r="L89" s="61">
        <f>IFERROR(CHOOSE(MATCH('02 — Vazão e Hidráulica'!$C$104,{"m","cm","mm","pol"},0),1,0.01,0.001,0.0254),"")</f>
        <v>1</v>
      </c>
    </row>
    <row r="90" ht="24" customHeight="1">
      <c r="B90" s="64" t="inlineStr">
        <is>
          <t>Fórmula</t>
        </is>
      </c>
      <c r="C90" s="136" t="inlineStr">
        <is>
          <t>TDH = V ÷ Q</t>
        </is>
      </c>
      <c r="D90" s="136" t="n"/>
      <c r="E90" s="136" t="n"/>
      <c r="F90" s="136" t="n"/>
      <c r="G90" s="136" t="n"/>
      <c r="H90" s="136" t="n"/>
      <c r="K90" s="61" t="inlineStr">
        <is>
          <t>[Ex 1.5] Dm</t>
        </is>
      </c>
      <c r="L90" s="61">
        <f>IFERROR('02 — Vazão e Hidráulica'!$C$103*$L$89,"")</f>
        <v>0.2</v>
      </c>
    </row>
    <row r="91" ht="34" customHeight="1">
      <c r="B91" s="64" t="inlineStr">
        <is>
          <t>Substituição</t>
        </is>
      </c>
      <c r="C91" s="25" t="str">
        <f>"V = "&amp;$L$156&amp;" m³ e Q = "&amp;$L$154&amp;" m³/h."&amp;CHAR(10)&amp;"TDH = "&amp;$L$156&amp;" ÷ "&amp;$L$154&amp;" = "&amp;$L$158&amp;" h"</f>
        <v>V = 1.200 m³ e Q = 200 m³/h.
TDH = 1.200 ÷ 200 = 6 h</v>
      </c>
      <c r="D91" s="25" t="n"/>
      <c r="E91" s="25" t="n"/>
      <c r="F91" s="25" t="n"/>
      <c r="G91" s="25" t="n"/>
      <c r="H91" s="25" t="n"/>
      <c r="K91" s="61" t="inlineStr">
        <is>
          <t>[Ex 1.5] A</t>
        </is>
      </c>
      <c r="L91" s="61">
        <f>IFERROR(PI()*$L$90^2/4,"")</f>
        <v>0.0314159265358979</v>
      </c>
    </row>
    <row r="92" ht="47" customHeight="1">
      <c r="B92" s="64" t="inlineStr">
        <is>
          <t>Resolução</t>
        </is>
      </c>
      <c r="C92" s="25" t="str">
        <f>"1) Converter: V = "&amp;$L$156&amp;" m³ e Q = "&amp;$L$154&amp;" m³/h."&amp;CHAR(10)&amp;"2) TDH = V ÷ Q = "&amp;$L$156&amp;" ÷ "&amp;$L$154&amp;" = "&amp;$L$158&amp;" h."&amp;CHAR(10)&amp;"3) Em minutos: "&amp;$L$158&amp;" × 60 = "&amp;$L$160&amp;" min."</f>
        <v>1) Converter: V = 1.200 m³ e Q = 200 m³/h.
2) TDH = V ÷ Q = 1.200 ÷ 200 = 6 h.
3) Em minutos: 6 × 60 = 360 min.</v>
      </c>
      <c r="D92" s="25" t="n"/>
      <c r="E92" s="25" t="n"/>
      <c r="F92" s="25" t="n"/>
      <c r="G92" s="25" t="n"/>
      <c r="H92" s="25" t="n"/>
      <c r="K92" s="61" t="inlineStr">
        <is>
          <t>[Ex 1.5] vel</t>
        </is>
      </c>
      <c r="L92" s="61">
        <f>IFERROR($L$88/$L$91,"")</f>
        <v>1.59154943091895</v>
      </c>
    </row>
    <row r="93" ht="22.3" customHeight="1">
      <c r="B93" s="137" t="inlineStr">
        <is>
          <t>Resultado</t>
        </is>
      </c>
      <c r="C93" s="138" t="str">
        <f>"TDH = "&amp;$L$158&amp;" h = "&amp;$L$160&amp;" min"</f>
        <v>TDH = 6 h = 360 min</v>
      </c>
      <c r="D93" s="138" t="n"/>
      <c r="E93" s="138" t="n"/>
      <c r="F93" s="138" t="n"/>
      <c r="G93" s="138" t="n"/>
      <c r="H93" s="138" t="n"/>
      <c r="K93" s="61" t="inlineStr">
        <is>
          <t>[Ex 1.5] D (arredondado)</t>
        </is>
      </c>
      <c r="L93" s="61">
        <f>IFERROR(ROUND('02 — Vazão e Hidráulica'!$C$103,IF('02 — Vazão e Hidráulica'!$C$103=0,0,4-INT(LOG10(ABS('02 — Vazão e Hidráulica'!$C$103))))),"")</f>
        <v>0.2</v>
      </c>
    </row>
    <row r="94" ht="21" customHeight="1">
      <c r="B94" s="64" t="inlineStr">
        <is>
          <t>Explicação simples</t>
        </is>
      </c>
      <c r="C94" s="25" t="str">
        <f>"Em média, cada porção de líquido fica "&amp;$L$158&amp;" horas ("&amp;$L$160&amp;" minutos) dentro da unidade antes de sair."</f>
        <v>Em média, cada porção de líquido fica 6 horas (360 minutos) dentro da unidade antes de sair.</v>
      </c>
      <c r="D94" s="25" t="n"/>
      <c r="E94" s="25" t="n"/>
      <c r="F94" s="25" t="n"/>
      <c r="G94" s="25" t="n"/>
      <c r="H94" s="25" t="n"/>
      <c r="K94" s="61" t="inlineStr">
        <is>
          <t>[Ex 1.5] D (texto)</t>
        </is>
      </c>
      <c r="L94" s="61" t="str">
        <f>IF(ISNUMBER($L$93),FIXED($L$93,IF(ROUND($L$93,0)=$L$93,0,IF(ROUND($L$93,1)=$L$93,1,IF(ROUND($L$93,2)=$L$93,2,IF(ROUND($L$93,3)=$L$93,3,IF(ROUND($L$93,4)=$L$93,4,IF(ROUND($L$93,5)=$L$93,5,IF(ROUND($L$93,6)=$L$93,6,7)))))))),"?")</f>
        <v>0,2</v>
      </c>
    </row>
    <row r="95" ht="32" customHeight="1">
      <c r="B95" s="103" t="inlineStr">
        <is>
          <t>Teste na calculadora</t>
        </is>
      </c>
      <c r="C95" s="104" t="inlineStr">
        <is>
          <t>Na aba 02 — Vazão e Hidráulica, vá até a Ferramenta 4 e escolha Exemplo 02 na lista Cenário. Depois troque para Meu cálculo e teste outros valores.</t>
        </is>
      </c>
      <c r="D95" s="104" t="n"/>
      <c r="E95" s="104" t="n"/>
      <c r="F95" s="104" t="n"/>
      <c r="G95" s="104" t="n"/>
      <c r="H95" s="104" t="n"/>
      <c r="K95" s="61" t="inlineStr">
        <is>
          <t>[Ex 1.5] Q (arredondado)</t>
        </is>
      </c>
      <c r="L95" s="61">
        <f>IFERROR(ROUND('02 — Vazão e Hidráulica'!$C$101,IF('02 — Vazão e Hidráulica'!$C$101=0,0,4-INT(LOG10(ABS('02 — Vazão e Hidráulica'!$C$101))))),"")</f>
        <v>0.05</v>
      </c>
    </row>
    <row r="96" ht="14" customHeight="1">
      <c r="K96" s="61" t="inlineStr">
        <is>
          <t>[Ex 1.5] Q (texto)</t>
        </is>
      </c>
      <c r="L96" s="61" t="str">
        <f>IF(ISNUMBER($L$95),FIXED($L$95,IF(ROUND($L$95,0)=$L$95,0,IF(ROUND($L$95,1)=$L$95,1,IF(ROUND($L$95,2)=$L$95,2,IF(ROUND($L$95,3)=$L$95,3,IF(ROUND($L$95,4)=$L$95,4,IF(ROUND($L$95,5)=$L$95,5,IF(ROUND($L$95,6)=$L$95,6,7)))))))),"?")</f>
        <v>0,05</v>
      </c>
    </row>
    <row r="97">
      <c r="K97" s="61" t="inlineStr">
        <is>
          <t>[Ex 1.5] A (arredondado)</t>
        </is>
      </c>
      <c r="L97" s="61">
        <f>IFERROR(ROUND($L$91,IF($L$91=0,0,4-INT(LOG10(ABS($L$91))))),"")</f>
        <v>0.031416</v>
      </c>
    </row>
    <row r="98" ht="32" customHeight="1">
      <c r="B98" s="139" t="inlineStr">
        <is>
          <t>🏭  CALCULADORA 02 · CARGA POLUIDORA</t>
        </is>
      </c>
      <c r="C98" s="139" t="n"/>
      <c r="D98" s="139" t="n"/>
      <c r="E98" s="139" t="n"/>
      <c r="F98" s="139" t="n"/>
      <c r="G98" s="139" t="n"/>
      <c r="H98" s="140" t="inlineStr">
        <is>
          <t>▲ Voltar ao índice</t>
        </is>
      </c>
      <c r="K98" s="61" t="inlineStr">
        <is>
          <t>[Ex 1.5] A (texto)</t>
        </is>
      </c>
      <c r="L98" s="61" t="str">
        <f>IF(ISNUMBER($L$97),FIXED($L$97,IF(ROUND($L$97,0)=$L$97,0,IF(ROUND($L$97,1)=$L$97,1,IF(ROUND($L$97,2)=$L$97,2,IF(ROUND($L$97,3)=$L$97,3,IF(ROUND($L$97,4)=$L$97,4,IF(ROUND($L$97,5)=$L$97,5,IF(ROUND($L$97,6)=$L$97,6,7)))))))),"?")</f>
        <v>0,031416</v>
      </c>
    </row>
    <row r="99" ht="8" customHeight="1">
      <c r="K99" s="61" t="inlineStr">
        <is>
          <t>[Ex 1.5] Dm (arredondado)</t>
        </is>
      </c>
      <c r="L99" s="61">
        <f>IFERROR(ROUND($L$90,IF($L$90=0,0,4-INT(LOG10(ABS($L$90))))),"")</f>
        <v>0.2</v>
      </c>
    </row>
    <row r="100" ht="26" customHeight="1">
      <c r="B100" s="141" t="inlineStr">
        <is>
          <t>EXEMPLO 2.1   ·   Carga de DBO de uma indústria</t>
        </is>
      </c>
      <c r="C100" s="141" t="n"/>
      <c r="D100" s="141" t="n"/>
      <c r="E100" s="141" t="n"/>
      <c r="F100" s="141" t="n"/>
      <c r="G100" s="135" t="inlineStr">
        <is>
          <t>▶ Abrir na calculadora</t>
        </is>
      </c>
      <c r="H100" s="135" t="n"/>
      <c r="K100" s="61" t="inlineStr">
        <is>
          <t>[Ex 1.5] Dm (texto)</t>
        </is>
      </c>
      <c r="L100" s="61" t="str">
        <f>IF(ISNUMBER($L$99),FIXED($L$99,IF(ROUND($L$99,0)=$L$99,0,IF(ROUND($L$99,1)=$L$99,1,IF(ROUND($L$99,2)=$L$99,2,IF(ROUND($L$99,3)=$L$99,3,IF(ROUND($L$99,4)=$L$99,4,IF(ROUND($L$99,5)=$L$99,5,IF(ROUND($L$99,6)=$L$99,6,7)))))))),"?")</f>
        <v>0,2</v>
      </c>
    </row>
    <row r="101" ht="19" customHeight="1">
      <c r="B101" s="64" t="inlineStr">
        <is>
          <t>Situação prática</t>
        </is>
      </c>
      <c r="C101" s="25" t="inlineStr">
        <is>
          <t>Uma indústria lança 400 m³/dia de efluente com DBO de 180 mg/L. Qual é a carga de DBO?</t>
        </is>
      </c>
      <c r="D101" s="25" t="n"/>
      <c r="E101" s="25" t="n"/>
      <c r="F101" s="25" t="n"/>
      <c r="G101" s="25" t="n"/>
      <c r="H101" s="25" t="n"/>
      <c r="K101" s="61" t="inlineStr">
        <is>
          <t>[Ex 1.5] Qs (arredondado)</t>
        </is>
      </c>
      <c r="L101" s="61">
        <f>IFERROR(ROUND($L$88,IF($L$88=0,0,4-INT(LOG10(ABS($L$88))))),"")</f>
        <v>0.05</v>
      </c>
    </row>
    <row r="102" ht="21" customHeight="1">
      <c r="B102" s="64" t="inlineStr">
        <is>
          <t>Dados utilizados</t>
        </is>
      </c>
      <c r="C102" s="25" t="str">
        <f>"Parâmetro: "&amp;'03 — Carga Poluidora'!$C$29&amp;"   |   "&amp;"Q = "&amp;$L$170&amp;" "&amp;'03 — Carga Poluidora'!$C$31&amp;"   |   "&amp;"C = "&amp;$L$168&amp;" "&amp;"mg/L"</f>
        <v>Parâmetro: DBO   |   Q = 400 m³/dia   |   C = 180 mg/L</v>
      </c>
      <c r="D102" s="25" t="n"/>
      <c r="E102" s="25" t="n"/>
      <c r="F102" s="25" t="n"/>
      <c r="G102" s="25" t="n"/>
      <c r="H102" s="25" t="n"/>
      <c r="K102" s="61" t="inlineStr">
        <is>
          <t>[Ex 1.5] Qs (texto)</t>
        </is>
      </c>
      <c r="L102" s="61" t="str">
        <f>IF(ISNUMBER($L$101),FIXED($L$101,IF(ROUND($L$101,0)=$L$101,0,IF(ROUND($L$101,1)=$L$101,1,IF(ROUND($L$101,2)=$L$101,2,IF(ROUND($L$101,3)=$L$101,3,IF(ROUND($L$101,4)=$L$101,4,IF(ROUND($L$101,5)=$L$101,5,IF(ROUND($L$101,6)=$L$101,6,7)))))))),"?")</f>
        <v>0,05</v>
      </c>
    </row>
    <row r="103" ht="24" customHeight="1">
      <c r="B103" s="64" t="inlineStr">
        <is>
          <t>Fórmula</t>
        </is>
      </c>
      <c r="C103" s="136" t="inlineStr">
        <is>
          <t>Carga (kg/dia) = Q (m³/dia) × C (mg/L) × 0,001</t>
        </is>
      </c>
      <c r="D103" s="136" t="n"/>
      <c r="E103" s="136" t="n"/>
      <c r="F103" s="136" t="n"/>
      <c r="G103" s="136" t="n"/>
      <c r="H103" s="136" t="n"/>
      <c r="K103" s="61" t="inlineStr">
        <is>
          <t>[Ex 1.5] vel (arredondado)</t>
        </is>
      </c>
      <c r="L103" s="61">
        <f>IFERROR(ROUND($L$92,IF($L$92=0,0,4-INT(LOG10(ABS($L$92))))),"")</f>
        <v>1.5915</v>
      </c>
    </row>
    <row r="104" ht="21" customHeight="1">
      <c r="B104" s="64" t="inlineStr">
        <is>
          <t>Substituição</t>
        </is>
      </c>
      <c r="C104" s="25" t="str">
        <f>"Carga = "&amp;$L$172&amp;" m³/dia × "&amp;$L$168&amp;" mg/L × 0,001 = "&amp;$L$174&amp;" kg/dia"</f>
        <v>Carga = 400 m³/dia × 180 mg/L × 0,001 = 72 kg/dia</v>
      </c>
      <c r="D104" s="25" t="n"/>
      <c r="E104" s="25" t="n"/>
      <c r="F104" s="25" t="n"/>
      <c r="G104" s="25" t="n"/>
      <c r="H104" s="25" t="n"/>
      <c r="K104" s="61" t="inlineStr">
        <is>
          <t>[Ex 1.5] vel (texto)</t>
        </is>
      </c>
      <c r="L104" s="61" t="str">
        <f>IF(ISNUMBER($L$103),FIXED($L$103,IF(ROUND($L$103,0)=$L$103,0,IF(ROUND($L$103,1)=$L$103,1,IF(ROUND($L$103,2)=$L$103,2,IF(ROUND($L$103,3)=$L$103,3,IF(ROUND($L$103,4)=$L$103,4,IF(ROUND($L$103,5)=$L$103,5,IF(ROUND($L$103,6)=$L$103,6,7)))))))),"?")</f>
        <v>1,5915</v>
      </c>
    </row>
    <row r="105" ht="47" customHeight="1">
      <c r="B105" s="64" t="inlineStr">
        <is>
          <t>Resolução</t>
        </is>
      </c>
      <c r="C105" s="25" t="str">
        <f>"1) Vazão em m³/dia: Q = "&amp;$L$172&amp;" m³/dia."&amp;CHAR(10)&amp;"2) Multiplicar Q × C: "&amp;$L$172&amp;" × "&amp;$L$168&amp;" = "&amp;$L$176&amp;" g/dia (porque 1 mg/L = 1 g/m³)."&amp;CHAR(10)&amp;"3) Converter para kg: "&amp;$L$176&amp;" × 0,001 = "&amp;$L$174&amp;" kg/dia."</f>
        <v>1) Vazão em m³/dia: Q = 400 m³/dia.
2) Multiplicar Q × C: 400 × 180 = 72.000 g/dia (porque 1 mg/L = 1 g/m³).
3) Converter para kg: 72.000 × 0,001 = 72 kg/dia.</v>
      </c>
      <c r="D105" s="25" t="n"/>
      <c r="E105" s="25" t="n"/>
      <c r="F105" s="25" t="n"/>
      <c r="G105" s="25" t="n"/>
      <c r="H105" s="25" t="n"/>
      <c r="K105" s="61" t="inlineStr">
        <is>
          <t>[Ex 1.6] fQ</t>
        </is>
      </c>
      <c r="L105" s="61">
        <f>IFERROR(CHOOSE(MATCH('02 — Vazão e Hidráulica'!$D$102,{"m³/s","L/s","m³/h","m³/dia"},0),1,0.001,1/3600,1/86400),"")</f>
        <v>0.001</v>
      </c>
    </row>
    <row r="106" ht="22.3" customHeight="1">
      <c r="B106" s="137" t="inlineStr">
        <is>
          <t>Resultado</t>
        </is>
      </c>
      <c r="C106" s="138" t="str">
        <f>"Carga de "&amp;'03 — Carga Poluidora'!$C$29&amp;" = "&amp;$L$174&amp;" kg/dia"</f>
        <v>Carga de DBO = 72 kg/dia</v>
      </c>
      <c r="D106" s="138" t="n"/>
      <c r="E106" s="138" t="n"/>
      <c r="F106" s="138" t="n"/>
      <c r="G106" s="138" t="n"/>
      <c r="H106" s="138" t="n"/>
      <c r="K106" s="61" t="inlineStr">
        <is>
          <t>[Ex 1.6] Qs</t>
        </is>
      </c>
      <c r="L106" s="61">
        <f>IFERROR('02 — Vazão e Hidráulica'!$D$101*$L$105,"")</f>
        <v>0.02</v>
      </c>
    </row>
    <row r="107" ht="34" customHeight="1">
      <c r="B107" s="64" t="inlineStr">
        <is>
          <t>Explicação simples</t>
        </is>
      </c>
      <c r="C107" s="25" t="str">
        <f>"Por dia, a corrente transporta "&amp;$L$174&amp;" kg de "&amp;'03 — Carga Poluidora'!$C$29&amp;". Essa é a massa que chega ao destino em 24 horas."&amp;IF('03 — Carga Poluidora'!$C$29="DBO"," Isso equivale ao esgoto de aproximadamente "&amp;$L$178&amp;" pessoas (referência usual de 54 g de DBO por habitante por dia).","")</f>
        <v>Por dia, a corrente transporta 72 kg de DBO. Essa é a massa que chega ao destino em 24 horas. Isso equivale ao esgoto de aproximadamente 1.333 pessoas (referência usual de 54 g de DBO por habitante por dia).</v>
      </c>
      <c r="D107" s="25" t="n"/>
      <c r="E107" s="25" t="n"/>
      <c r="F107" s="25" t="n"/>
      <c r="G107" s="25" t="n"/>
      <c r="H107" s="25" t="n"/>
      <c r="K107" s="61" t="inlineStr">
        <is>
          <t>[Ex 1.6] fD</t>
        </is>
      </c>
      <c r="L107" s="61">
        <f>IFERROR(CHOOSE(MATCH('02 — Vazão e Hidráulica'!$D$104,{"m","cm","mm","pol"},0),1,0.01,0.001,0.0254),"")</f>
        <v>0.001</v>
      </c>
    </row>
    <row r="108" ht="32" customHeight="1">
      <c r="B108" s="103" t="inlineStr">
        <is>
          <t>Teste na calculadora</t>
        </is>
      </c>
      <c r="C108" s="104" t="inlineStr">
        <is>
          <t>Na aba 03 — Carga Poluidora, vá até a Ferramenta 1 e escolha Exemplo 01 na lista Cenário. Depois troque para Meu cálculo e teste outros valores.</t>
        </is>
      </c>
      <c r="D108" s="104" t="n"/>
      <c r="E108" s="104" t="n"/>
      <c r="F108" s="104" t="n"/>
      <c r="G108" s="104" t="n"/>
      <c r="H108" s="104" t="n"/>
      <c r="K108" s="61" t="inlineStr">
        <is>
          <t>[Ex 1.6] Dm</t>
        </is>
      </c>
      <c r="L108" s="61">
        <f>IFERROR('02 — Vazão e Hidráulica'!$D$103*$L$107,"")</f>
        <v>0.1</v>
      </c>
    </row>
    <row r="109" ht="14" customHeight="1">
      <c r="K109" s="61" t="inlineStr">
        <is>
          <t>[Ex 1.6] A</t>
        </is>
      </c>
      <c r="L109" s="61">
        <f>IFERROR(PI()*$L$108^2/4,"")</f>
        <v>0.00785398163397448</v>
      </c>
    </row>
    <row r="110" ht="26" customHeight="1">
      <c r="B110" s="141" t="inlineStr">
        <is>
          <t>EXEMPLO 2.2   ·   Carga de sólidos com vazão em L/s</t>
        </is>
      </c>
      <c r="C110" s="141" t="n"/>
      <c r="D110" s="141" t="n"/>
      <c r="E110" s="141" t="n"/>
      <c r="F110" s="141" t="n"/>
      <c r="G110" s="135" t="inlineStr">
        <is>
          <t>▶ Abrir na calculadora</t>
        </is>
      </c>
      <c r="H110" s="135" t="n"/>
      <c r="K110" s="61" t="inlineStr">
        <is>
          <t>[Ex 1.6] vel</t>
        </is>
      </c>
      <c r="L110" s="61">
        <f>IFERROR($L$106/$L$109,"")</f>
        <v>2.54647908947033</v>
      </c>
    </row>
    <row r="111" ht="19" customHeight="1">
      <c r="B111" s="64" t="inlineStr">
        <is>
          <t>Situação prática</t>
        </is>
      </c>
      <c r="C111" s="25" t="inlineStr">
        <is>
          <t>Um efluente com vazão de 5 L/s tem 250 mg/L de SST. Qual é a carga diária de sólidos?</t>
        </is>
      </c>
      <c r="D111" s="25" t="n"/>
      <c r="E111" s="25" t="n"/>
      <c r="F111" s="25" t="n"/>
      <c r="G111" s="25" t="n"/>
      <c r="H111" s="25" t="n"/>
      <c r="K111" s="61" t="inlineStr">
        <is>
          <t>[Ex 1.6] D (arredondado)</t>
        </is>
      </c>
      <c r="L111" s="61">
        <f>IFERROR(ROUND('02 — Vazão e Hidráulica'!$D$103,IF('02 — Vazão e Hidráulica'!$D$103=0,0,4-INT(LOG10(ABS('02 — Vazão e Hidráulica'!$D$103))))),"")</f>
        <v>100</v>
      </c>
    </row>
    <row r="112" ht="21" customHeight="1">
      <c r="B112" s="64" t="inlineStr">
        <is>
          <t>Dados utilizados</t>
        </is>
      </c>
      <c r="C112" s="25" t="str">
        <f>"Parâmetro: "&amp;'03 — Carga Poluidora'!$D$29&amp;"   |   "&amp;"Q = "&amp;$L$188&amp;" "&amp;'03 — Carga Poluidora'!$D$31&amp;"   |   "&amp;"C = "&amp;$L$186&amp;" "&amp;"mg/L"</f>
        <v>Parâmetro: SST   |   Q = 5 L/s   |   C = 250 mg/L</v>
      </c>
      <c r="D112" s="25" t="n"/>
      <c r="E112" s="25" t="n"/>
      <c r="F112" s="25" t="n"/>
      <c r="G112" s="25" t="n"/>
      <c r="H112" s="25" t="n"/>
      <c r="K112" s="61" t="inlineStr">
        <is>
          <t>[Ex 1.6] D (texto)</t>
        </is>
      </c>
      <c r="L112" s="61" t="str">
        <f>IF(ISNUMBER($L$111),FIXED($L$111,IF(ROUND($L$111,0)=$L$111,0,IF(ROUND($L$111,1)=$L$111,1,IF(ROUND($L$111,2)=$L$111,2,IF(ROUND($L$111,3)=$L$111,3,IF(ROUND($L$111,4)=$L$111,4,IF(ROUND($L$111,5)=$L$111,5,IF(ROUND($L$111,6)=$L$111,6,7)))))))),"?")</f>
        <v>100</v>
      </c>
    </row>
    <row r="113" ht="24" customHeight="1">
      <c r="B113" s="64" t="inlineStr">
        <is>
          <t>Fórmula</t>
        </is>
      </c>
      <c r="C113" s="136" t="inlineStr">
        <is>
          <t>Carga (kg/dia) = Q (m³/dia) × C (mg/L) × 0,001</t>
        </is>
      </c>
      <c r="D113" s="136" t="n"/>
      <c r="E113" s="136" t="n"/>
      <c r="F113" s="136" t="n"/>
      <c r="G113" s="136" t="n"/>
      <c r="H113" s="136" t="n"/>
      <c r="K113" s="61" t="inlineStr">
        <is>
          <t>[Ex 1.6] Q (arredondado)</t>
        </is>
      </c>
      <c r="L113" s="61">
        <f>IFERROR(ROUND('02 — Vazão e Hidráulica'!$D$101,IF('02 — Vazão e Hidráulica'!$D$101=0,0,4-INT(LOG10(ABS('02 — Vazão e Hidráulica'!$D$101))))),"")</f>
        <v>20</v>
      </c>
    </row>
    <row r="114" ht="21" customHeight="1">
      <c r="B114" s="64" t="inlineStr">
        <is>
          <t>Substituição</t>
        </is>
      </c>
      <c r="C114" s="25" t="str">
        <f>"Carga = "&amp;$L$190&amp;" m³/dia × "&amp;$L$186&amp;" mg/L × 0,001 = "&amp;$L$192&amp;" kg/dia"</f>
        <v>Carga = 432 m³/dia × 250 mg/L × 0,001 = 108 kg/dia</v>
      </c>
      <c r="D114" s="25" t="n"/>
      <c r="E114" s="25" t="n"/>
      <c r="F114" s="25" t="n"/>
      <c r="G114" s="25" t="n"/>
      <c r="H114" s="25" t="n"/>
      <c r="K114" s="61" t="inlineStr">
        <is>
          <t>[Ex 1.6] Q (texto)</t>
        </is>
      </c>
      <c r="L114" s="61" t="str">
        <f>IF(ISNUMBER($L$113),FIXED($L$113,IF(ROUND($L$113,0)=$L$113,0,IF(ROUND($L$113,1)=$L$113,1,IF(ROUND($L$113,2)=$L$113,2,IF(ROUND($L$113,3)=$L$113,3,IF(ROUND($L$113,4)=$L$113,4,IF(ROUND($L$113,5)=$L$113,5,IF(ROUND($L$113,6)=$L$113,6,7)))))))),"?")</f>
        <v>20</v>
      </c>
    </row>
    <row r="115" ht="47" customHeight="1">
      <c r="B115" s="64" t="inlineStr">
        <is>
          <t>Resolução</t>
        </is>
      </c>
      <c r="C115" s="25" t="str">
        <f>"1) Vazão em m³/dia: Q = "&amp;$L$190&amp;" m³/dia."&amp;CHAR(10)&amp;"2) Multiplicar Q × C: "&amp;$L$190&amp;" × "&amp;$L$186&amp;" = "&amp;$L$194&amp;" g/dia (porque 1 mg/L = 1 g/m³)."&amp;CHAR(10)&amp;"3) Converter para kg: "&amp;$L$194&amp;" × 0,001 = "&amp;$L$192&amp;" kg/dia."</f>
        <v>1) Vazão em m³/dia: Q = 432 m³/dia.
2) Multiplicar Q × C: 432 × 250 = 108.000 g/dia (porque 1 mg/L = 1 g/m³).
3) Converter para kg: 108.000 × 0,001 = 108 kg/dia.</v>
      </c>
      <c r="D115" s="25" t="n"/>
      <c r="E115" s="25" t="n"/>
      <c r="F115" s="25" t="n"/>
      <c r="G115" s="25" t="n"/>
      <c r="H115" s="25" t="n"/>
      <c r="K115" s="61" t="inlineStr">
        <is>
          <t>[Ex 1.6] A (arredondado)</t>
        </is>
      </c>
      <c r="L115" s="61">
        <f>IFERROR(ROUND($L$109,IF($L$109=0,0,4-INT(LOG10(ABS($L$109))))),"")</f>
        <v>0.007854</v>
      </c>
    </row>
    <row r="116" ht="22.3" customHeight="1">
      <c r="B116" s="137" t="inlineStr">
        <is>
          <t>Resultado</t>
        </is>
      </c>
      <c r="C116" s="138" t="str">
        <f>"Carga de "&amp;'03 — Carga Poluidora'!$D$29&amp;" = "&amp;$L$192&amp;" kg/dia"</f>
        <v>Carga de SST = 108 kg/dia</v>
      </c>
      <c r="D116" s="138" t="n"/>
      <c r="E116" s="138" t="n"/>
      <c r="F116" s="138" t="n"/>
      <c r="G116" s="138" t="n"/>
      <c r="H116" s="138" t="n"/>
      <c r="K116" s="61" t="inlineStr">
        <is>
          <t>[Ex 1.6] A (texto)</t>
        </is>
      </c>
      <c r="L116" s="61" t="str">
        <f>IF(ISNUMBER($L$115),FIXED($L$115,IF(ROUND($L$115,0)=$L$115,0,IF(ROUND($L$115,1)=$L$115,1,IF(ROUND($L$115,2)=$L$115,2,IF(ROUND($L$115,3)=$L$115,3,IF(ROUND($L$115,4)=$L$115,4,IF(ROUND($L$115,5)=$L$115,5,IF(ROUND($L$115,6)=$L$115,6,7)))))))),"?")</f>
        <v>0,007854</v>
      </c>
    </row>
    <row r="117" ht="21" customHeight="1">
      <c r="B117" s="64" t="inlineStr">
        <is>
          <t>Explicação simples</t>
        </is>
      </c>
      <c r="C117" s="25" t="str">
        <f>"Por dia, a corrente transporta "&amp;$L$192&amp;" kg de "&amp;'03 — Carga Poluidora'!$D$29&amp;". Essa é a massa que chega ao destino em 24 horas."&amp;IF('03 — Carga Poluidora'!$D$29="DBO"," Isso equivale ao esgoto de aproximadamente "&amp;$L$196&amp;" pessoas (referência usual de 54 g de DBO por habitante por dia).","")</f>
        <v>Por dia, a corrente transporta 108 kg de SST. Essa é a massa que chega ao destino em 24 horas.</v>
      </c>
      <c r="D117" s="25" t="n"/>
      <c r="E117" s="25" t="n"/>
      <c r="F117" s="25" t="n"/>
      <c r="G117" s="25" t="n"/>
      <c r="H117" s="25" t="n"/>
      <c r="K117" s="61" t="inlineStr">
        <is>
          <t>[Ex 1.6] Dm (arredondado)</t>
        </is>
      </c>
      <c r="L117" s="61">
        <f>IFERROR(ROUND($L$108,IF($L$108=0,0,4-INT(LOG10(ABS($L$108))))),"")</f>
        <v>0.1</v>
      </c>
    </row>
    <row r="118" ht="32" customHeight="1">
      <c r="B118" s="103" t="inlineStr">
        <is>
          <t>Teste na calculadora</t>
        </is>
      </c>
      <c r="C118" s="104" t="inlineStr">
        <is>
          <t>Na aba 03 — Carga Poluidora, vá até a Ferramenta 1 e escolha Exemplo 02 na lista Cenário. Depois troque para Meu cálculo e teste outros valores.</t>
        </is>
      </c>
      <c r="D118" s="104" t="n"/>
      <c r="E118" s="104" t="n"/>
      <c r="F118" s="104" t="n"/>
      <c r="G118" s="104" t="n"/>
      <c r="H118" s="104" t="n"/>
      <c r="K118" s="61" t="inlineStr">
        <is>
          <t>[Ex 1.6] Dm (texto)</t>
        </is>
      </c>
      <c r="L118" s="61" t="str">
        <f>IF(ISNUMBER($L$117),FIXED($L$117,IF(ROUND($L$117,0)=$L$117,0,IF(ROUND($L$117,1)=$L$117,1,IF(ROUND($L$117,2)=$L$117,2,IF(ROUND($L$117,3)=$L$117,3,IF(ROUND($L$117,4)=$L$117,4,IF(ROUND($L$117,5)=$L$117,5,IF(ROUND($L$117,6)=$L$117,6,7)))))))),"?")</f>
        <v>0,1</v>
      </c>
    </row>
    <row r="119" ht="14" customHeight="1">
      <c r="K119" s="61" t="inlineStr">
        <is>
          <t>[Ex 1.6] Qs (arredondado)</t>
        </is>
      </c>
      <c r="L119" s="61">
        <f>IFERROR(ROUND($L$106,IF($L$106=0,0,4-INT(LOG10(ABS($L$106))))),"")</f>
        <v>0.02</v>
      </c>
    </row>
    <row r="120" ht="26" customHeight="1">
      <c r="B120" s="141" t="inlineStr">
        <is>
          <t>EXEMPLO 2.3   ·   Concentração de DBO na saída</t>
        </is>
      </c>
      <c r="C120" s="141" t="n"/>
      <c r="D120" s="141" t="n"/>
      <c r="E120" s="141" t="n"/>
      <c r="F120" s="141" t="n"/>
      <c r="G120" s="135" t="inlineStr">
        <is>
          <t>▶ Abrir na calculadora</t>
        </is>
      </c>
      <c r="H120" s="135" t="n"/>
      <c r="K120" s="61" t="inlineStr">
        <is>
          <t>[Ex 1.6] Qs (texto)</t>
        </is>
      </c>
      <c r="L120" s="61" t="str">
        <f>IF(ISNUMBER($L$119),FIXED($L$119,IF(ROUND($L$119,0)=$L$119,0,IF(ROUND($L$119,1)=$L$119,1,IF(ROUND($L$119,2)=$L$119,2,IF(ROUND($L$119,3)=$L$119,3,IF(ROUND($L$119,4)=$L$119,4,IF(ROUND($L$119,5)=$L$119,5,IF(ROUND($L$119,6)=$L$119,6,7)))))))),"?")</f>
        <v>0,02</v>
      </c>
    </row>
    <row r="121" ht="32" customHeight="1">
      <c r="B121" s="64" t="inlineStr">
        <is>
          <t>Situação prática</t>
        </is>
      </c>
      <c r="C121" s="25" t="inlineStr">
        <is>
          <t>Um efluente tratado sai com carga de 24 kg/dia de DBO e vazão de 400 m³/dia. Qual é a concentração de DBO?</t>
        </is>
      </c>
      <c r="D121" s="25" t="n"/>
      <c r="E121" s="25" t="n"/>
      <c r="F121" s="25" t="n"/>
      <c r="G121" s="25" t="n"/>
      <c r="H121" s="25" t="n"/>
      <c r="K121" s="61" t="inlineStr">
        <is>
          <t>[Ex 1.6] vel (arredondado)</t>
        </is>
      </c>
      <c r="L121" s="61">
        <f>IFERROR(ROUND($L$110,IF($L$110=0,0,4-INT(LOG10(ABS($L$110))))),"")</f>
        <v>2.5465</v>
      </c>
    </row>
    <row r="122" ht="21" customHeight="1">
      <c r="B122" s="64" t="inlineStr">
        <is>
          <t>Dados utilizados</t>
        </is>
      </c>
      <c r="C122" s="25" t="str">
        <f>"Parâmetro: "&amp;'03 — Carga Poluidora'!$C$65&amp;"   |   "&amp;"Carga = "&amp;$L$203&amp;" "&amp;"kg/dia"&amp;"   |   "&amp;"Q = "&amp;$L$205&amp;" "&amp;'03 — Carga Poluidora'!$C$68</f>
        <v>Parâmetro: DBO   |   Carga = 24 kg/dia   |   Q = 400 m³/dia</v>
      </c>
      <c r="D122" s="25" t="n"/>
      <c r="E122" s="25" t="n"/>
      <c r="F122" s="25" t="n"/>
      <c r="G122" s="25" t="n"/>
      <c r="H122" s="25" t="n"/>
      <c r="K122" s="61" t="inlineStr">
        <is>
          <t>[Ex 1.6] vel (texto)</t>
        </is>
      </c>
      <c r="L122" s="61" t="str">
        <f>IF(ISNUMBER($L$121),FIXED($L$121,IF(ROUND($L$121,0)=$L$121,0,IF(ROUND($L$121,1)=$L$121,1,IF(ROUND($L$121,2)=$L$121,2,IF(ROUND($L$121,3)=$L$121,3,IF(ROUND($L$121,4)=$L$121,4,IF(ROUND($L$121,5)=$L$121,5,IF(ROUND($L$121,6)=$L$121,6,7)))))))),"?")</f>
        <v>2,5465</v>
      </c>
    </row>
    <row r="123" ht="24" customHeight="1">
      <c r="B123" s="64" t="inlineStr">
        <is>
          <t>Fórmula</t>
        </is>
      </c>
      <c r="C123" s="136" t="inlineStr">
        <is>
          <t>C (mg/L) = Carga (kg/dia) × 1000 ÷ Q (m³/dia)</t>
        </is>
      </c>
      <c r="D123" s="136" t="n"/>
      <c r="E123" s="136" t="n"/>
      <c r="F123" s="136" t="n"/>
      <c r="G123" s="136" t="n"/>
      <c r="H123" s="136" t="n"/>
      <c r="K123" s="61" t="inlineStr">
        <is>
          <t>[Ex 1.7] fV</t>
        </is>
      </c>
      <c r="L123" s="61">
        <f>IFERROR(CHOOSE(MATCH('02 — Vazão e Hidráulica'!$C$138,{"m³","L"},0),1,0.001),"")</f>
        <v>1</v>
      </c>
    </row>
    <row r="124" ht="21" customHeight="1">
      <c r="B124" s="64" t="inlineStr">
        <is>
          <t>Substituição</t>
        </is>
      </c>
      <c r="C124" s="25" t="str">
        <f>"C = "&amp;$L$203&amp;" kg/dia × 1000 ÷ "&amp;$L$209&amp;" m³/dia = "&amp;$L$207&amp;" mg/L"</f>
        <v>C = 24 kg/dia × 1000 ÷ 400 m³/dia = 60 mg/L</v>
      </c>
      <c r="D124" s="25" t="n"/>
      <c r="E124" s="25" t="n"/>
      <c r="F124" s="25" t="n"/>
      <c r="G124" s="25" t="n"/>
      <c r="H124" s="25" t="n"/>
      <c r="K124" s="61" t="inlineStr">
        <is>
          <t>[Ex 1.7] Vm</t>
        </is>
      </c>
      <c r="L124" s="61">
        <f>IFERROR('02 — Vazão e Hidráulica'!$C$137*$L$123,"")</f>
        <v>500</v>
      </c>
    </row>
    <row r="125" ht="47" customHeight="1">
      <c r="B125" s="64" t="inlineStr">
        <is>
          <t>Resolução</t>
        </is>
      </c>
      <c r="C125" s="25" t="str">
        <f>"1) Vazão em m³/dia: Q = "&amp;$L$209&amp;" m³/dia."&amp;CHAR(10)&amp;"2) Carga em g/dia: "&amp;$L$203&amp;" × 1000 = "&amp;$L$211&amp;" g/dia."&amp;CHAR(10)&amp;"3) Dividir pela vazão: C = "&amp;$L$211&amp;" ÷ "&amp;$L$209&amp;" = "&amp;$L$207&amp;" mg/L."</f>
        <v>1) Vazão em m³/dia: Q = 400 m³/dia.
2) Carga em g/dia: 24 × 1000 = 24.000 g/dia.
3) Dividir pela vazão: C = 24.000 ÷ 400 = 60 mg/L.</v>
      </c>
      <c r="D125" s="25" t="n"/>
      <c r="E125" s="25" t="n"/>
      <c r="F125" s="25" t="n"/>
      <c r="G125" s="25" t="n"/>
      <c r="H125" s="25" t="n"/>
      <c r="K125" s="61" t="inlineStr">
        <is>
          <t>[Ex 1.7] fQ</t>
        </is>
      </c>
      <c r="L125" s="61">
        <f>IFERROR(CHOOSE(MATCH('02 — Vazão e Hidráulica'!$C$140,{"m³/s","L/s","m³/h","m³/dia"},0),1,0.001,1/3600,1/86400),"")</f>
        <v>0.000277777777777778</v>
      </c>
    </row>
    <row r="126" ht="22.3" customHeight="1">
      <c r="B126" s="137" t="inlineStr">
        <is>
          <t>Resultado</t>
        </is>
      </c>
      <c r="C126" s="138" t="str">
        <f>"C = "&amp;$L$207&amp;" mg/L de "&amp;'03 — Carga Poluidora'!$C$65</f>
        <v>C = 60 mg/L de DBO</v>
      </c>
      <c r="D126" s="138" t="n"/>
      <c r="E126" s="138" t="n"/>
      <c r="F126" s="138" t="n"/>
      <c r="G126" s="138" t="n"/>
      <c r="H126" s="138" t="n"/>
      <c r="K126" s="61" t="inlineStr">
        <is>
          <t>[Ex 1.7] Qh</t>
        </is>
      </c>
      <c r="L126" s="61">
        <f>IFERROR('02 — Vazão e Hidráulica'!$C$139*$L$125*3600,"")</f>
        <v>50</v>
      </c>
    </row>
    <row r="127" ht="21" customHeight="1">
      <c r="B127" s="64" t="inlineStr">
        <is>
          <t>Explicação simples</t>
        </is>
      </c>
      <c r="C127" s="25" t="str">
        <f>"Cada litro do efluente carrega, em média, "&amp;$L$207&amp;" mg de "&amp;'03 — Carga Poluidora'!$C$65&amp;". É o mesmo que "&amp;$L$207&amp;" g em cada m³."</f>
        <v>Cada litro do efluente carrega, em média, 60 mg de DBO. É o mesmo que 60 g em cada m³.</v>
      </c>
      <c r="D127" s="25" t="n"/>
      <c r="E127" s="25" t="n"/>
      <c r="F127" s="25" t="n"/>
      <c r="G127" s="25" t="n"/>
      <c r="H127" s="25" t="n"/>
      <c r="K127" s="61" t="inlineStr">
        <is>
          <t>[Ex 1.7] th</t>
        </is>
      </c>
      <c r="L127" s="61">
        <f>IFERROR($L$124/$L$126,"")</f>
        <v>10</v>
      </c>
    </row>
    <row r="128" ht="32" customHeight="1">
      <c r="B128" s="103" t="inlineStr">
        <is>
          <t>Teste na calculadora</t>
        </is>
      </c>
      <c r="C128" s="104" t="inlineStr">
        <is>
          <t>Na aba 03 — Carga Poluidora, vá até a Ferramenta 2 e escolha Exemplo 01 na lista Cenário. Depois troque para Meu cálculo e teste outros valores.</t>
        </is>
      </c>
      <c r="D128" s="104" t="n"/>
      <c r="E128" s="104" t="n"/>
      <c r="F128" s="104" t="n"/>
      <c r="G128" s="104" t="n"/>
      <c r="H128" s="104" t="n"/>
      <c r="K128" s="61" t="inlineStr">
        <is>
          <t>[Ex 1.7] tm</t>
        </is>
      </c>
      <c r="L128" s="61">
        <f>IFERROR($L$127*60,"")</f>
        <v>600</v>
      </c>
    </row>
    <row r="129" ht="14" customHeight="1">
      <c r="K129" s="61" t="inlineStr">
        <is>
          <t>[Ex 1.7] td</t>
        </is>
      </c>
      <c r="L129" s="61">
        <f>IFERROR($L$127/24,"")</f>
        <v>0.416666666666667</v>
      </c>
    </row>
    <row r="130" ht="26" customHeight="1">
      <c r="B130" s="141" t="inlineStr">
        <is>
          <t>EXEMPLO 2.4   ·   DQO de uma lavanderia</t>
        </is>
      </c>
      <c r="C130" s="141" t="n"/>
      <c r="D130" s="141" t="n"/>
      <c r="E130" s="141" t="n"/>
      <c r="F130" s="141" t="n"/>
      <c r="G130" s="135" t="inlineStr">
        <is>
          <t>▶ Abrir na calculadora</t>
        </is>
      </c>
      <c r="H130" s="135" t="n"/>
      <c r="K130" s="61" t="inlineStr">
        <is>
          <t>[Ex 1.7] Q (arredondado)</t>
        </is>
      </c>
      <c r="L130" s="61">
        <f>IFERROR(ROUND('02 — Vazão e Hidráulica'!$C$139,IF('02 — Vazão e Hidráulica'!$C$139=0,0,4-INT(LOG10(ABS('02 — Vazão e Hidráulica'!$C$139))))),"")</f>
        <v>50</v>
      </c>
    </row>
    <row r="131" ht="19" customHeight="1">
      <c r="B131" s="64" t="inlineStr">
        <is>
          <t>Situação prática</t>
        </is>
      </c>
      <c r="C131" s="25" t="inlineStr">
        <is>
          <t>Uma lavanderia gera 150 kg/dia de DQO com vazão de 50 m³/h. Qual é a concentração média de DQO?</t>
        </is>
      </c>
      <c r="D131" s="25" t="n"/>
      <c r="E131" s="25" t="n"/>
      <c r="F131" s="25" t="n"/>
      <c r="G131" s="25" t="n"/>
      <c r="H131" s="25" t="n"/>
      <c r="K131" s="61" t="inlineStr">
        <is>
          <t>[Ex 1.7] Q (texto)</t>
        </is>
      </c>
      <c r="L131" s="61" t="str">
        <f>IF(ISNUMBER($L$130),FIXED($L$130,IF(ROUND($L$130,0)=$L$130,0,IF(ROUND($L$130,1)=$L$130,1,IF(ROUND($L$130,2)=$L$130,2,IF(ROUND($L$130,3)=$L$130,3,IF(ROUND($L$130,4)=$L$130,4,IF(ROUND($L$130,5)=$L$130,5,IF(ROUND($L$130,6)=$L$130,6,7)))))))),"?")</f>
        <v>50</v>
      </c>
    </row>
    <row r="132" ht="21" customHeight="1">
      <c r="B132" s="64" t="inlineStr">
        <is>
          <t>Dados utilizados</t>
        </is>
      </c>
      <c r="C132" s="25" t="str">
        <f>"Parâmetro: "&amp;'03 — Carga Poluidora'!$D$65&amp;"   |   "&amp;"Carga = "&amp;$L$218&amp;" "&amp;"kg/dia"&amp;"   |   "&amp;"Q = "&amp;$L$220&amp;" "&amp;'03 — Carga Poluidora'!$D$68</f>
        <v>Parâmetro: DQO   |   Carga = 150 kg/dia   |   Q = 50 m³/h</v>
      </c>
      <c r="D132" s="25" t="n"/>
      <c r="E132" s="25" t="n"/>
      <c r="F132" s="25" t="n"/>
      <c r="G132" s="25" t="n"/>
      <c r="H132" s="25" t="n"/>
      <c r="K132" s="61" t="inlineStr">
        <is>
          <t>[Ex 1.7] V (arredondado)</t>
        </is>
      </c>
      <c r="L132" s="61">
        <f>IFERROR(ROUND('02 — Vazão e Hidráulica'!$C$137,IF('02 — Vazão e Hidráulica'!$C$137=0,0,4-INT(LOG10(ABS('02 — Vazão e Hidráulica'!$C$137))))),"")</f>
        <v>500</v>
      </c>
    </row>
    <row r="133" ht="24" customHeight="1">
      <c r="B133" s="64" t="inlineStr">
        <is>
          <t>Fórmula</t>
        </is>
      </c>
      <c r="C133" s="136" t="inlineStr">
        <is>
          <t>C (mg/L) = Carga (kg/dia) × 1000 ÷ Q (m³/dia)</t>
        </is>
      </c>
      <c r="D133" s="136" t="n"/>
      <c r="E133" s="136" t="n"/>
      <c r="F133" s="136" t="n"/>
      <c r="G133" s="136" t="n"/>
      <c r="H133" s="136" t="n"/>
      <c r="K133" s="61" t="inlineStr">
        <is>
          <t>[Ex 1.7] V (texto)</t>
        </is>
      </c>
      <c r="L133" s="61" t="str">
        <f>IF(ISNUMBER($L$132),FIXED($L$132,IF(ROUND($L$132,0)=$L$132,0,IF(ROUND($L$132,1)=$L$132,1,IF(ROUND($L$132,2)=$L$132,2,IF(ROUND($L$132,3)=$L$132,3,IF(ROUND($L$132,4)=$L$132,4,IF(ROUND($L$132,5)=$L$132,5,IF(ROUND($L$132,6)=$L$132,6,7)))))))),"?")</f>
        <v>500</v>
      </c>
    </row>
    <row r="134" ht="21" customHeight="1">
      <c r="B134" s="64" t="inlineStr">
        <is>
          <t>Substituição</t>
        </is>
      </c>
      <c r="C134" s="25" t="str">
        <f>"C = "&amp;$L$218&amp;" kg/dia × 1000 ÷ "&amp;$L$224&amp;" m³/dia = "&amp;$L$222&amp;" mg/L"</f>
        <v>C = 150 kg/dia × 1000 ÷ 1.200 m³/dia = 125 mg/L</v>
      </c>
      <c r="D134" s="25" t="n"/>
      <c r="E134" s="25" t="n"/>
      <c r="F134" s="25" t="n"/>
      <c r="G134" s="25" t="n"/>
      <c r="H134" s="25" t="n"/>
      <c r="K134" s="61" t="inlineStr">
        <is>
          <t>[Ex 1.7] Qh (arredondado)</t>
        </is>
      </c>
      <c r="L134" s="61">
        <f>IFERROR(ROUND($L$126,IF($L$126=0,0,4-INT(LOG10(ABS($L$126))))),"")</f>
        <v>50</v>
      </c>
    </row>
    <row r="135" ht="47" customHeight="1">
      <c r="B135" s="64" t="inlineStr">
        <is>
          <t>Resolução</t>
        </is>
      </c>
      <c r="C135" s="25" t="str">
        <f>"1) Vazão em m³/dia: Q = "&amp;$L$224&amp;" m³/dia."&amp;CHAR(10)&amp;"2) Carga em g/dia: "&amp;$L$218&amp;" × 1000 = "&amp;$L$226&amp;" g/dia."&amp;CHAR(10)&amp;"3) Dividir pela vazão: C = "&amp;$L$226&amp;" ÷ "&amp;$L$224&amp;" = "&amp;$L$222&amp;" mg/L."</f>
        <v>1) Vazão em m³/dia: Q = 1.200 m³/dia.
2) Carga em g/dia: 150 × 1000 = 150.000 g/dia.
3) Dividir pela vazão: C = 150.000 ÷ 1.200 = 125 mg/L.</v>
      </c>
      <c r="D135" s="25" t="n"/>
      <c r="E135" s="25" t="n"/>
      <c r="F135" s="25" t="n"/>
      <c r="G135" s="25" t="n"/>
      <c r="H135" s="25" t="n"/>
      <c r="K135" s="61" t="inlineStr">
        <is>
          <t>[Ex 1.7] Qh (texto)</t>
        </is>
      </c>
      <c r="L135" s="61" t="str">
        <f>IF(ISNUMBER($L$134),FIXED($L$134,IF(ROUND($L$134,0)=$L$134,0,IF(ROUND($L$134,1)=$L$134,1,IF(ROUND($L$134,2)=$L$134,2,IF(ROUND($L$134,3)=$L$134,3,IF(ROUND($L$134,4)=$L$134,4,IF(ROUND($L$134,5)=$L$134,5,IF(ROUND($L$134,6)=$L$134,6,7)))))))),"?")</f>
        <v>50</v>
      </c>
    </row>
    <row r="136" ht="22.3" customHeight="1">
      <c r="B136" s="137" t="inlineStr">
        <is>
          <t>Resultado</t>
        </is>
      </c>
      <c r="C136" s="138" t="str">
        <f>"C = "&amp;$L$222&amp;" mg/L de "&amp;'03 — Carga Poluidora'!$D$65</f>
        <v>C = 125 mg/L de DQO</v>
      </c>
      <c r="D136" s="138" t="n"/>
      <c r="E136" s="138" t="n"/>
      <c r="F136" s="138" t="n"/>
      <c r="G136" s="138" t="n"/>
      <c r="H136" s="138" t="n"/>
      <c r="K136" s="61" t="inlineStr">
        <is>
          <t>[Ex 1.7] Vm (arredondado)</t>
        </is>
      </c>
      <c r="L136" s="61">
        <f>IFERROR(ROUND($L$124,IF($L$124=0,0,4-INT(LOG10(ABS($L$124))))),"")</f>
        <v>500</v>
      </c>
    </row>
    <row r="137" ht="21" customHeight="1">
      <c r="B137" s="64" t="inlineStr">
        <is>
          <t>Explicação simples</t>
        </is>
      </c>
      <c r="C137" s="25" t="str">
        <f>"Cada litro do efluente carrega, em média, "&amp;$L$222&amp;" mg de "&amp;'03 — Carga Poluidora'!$D$65&amp;". É o mesmo que "&amp;$L$222&amp;" g em cada m³."</f>
        <v>Cada litro do efluente carrega, em média, 125 mg de DQO. É o mesmo que 125 g em cada m³.</v>
      </c>
      <c r="D137" s="25" t="n"/>
      <c r="E137" s="25" t="n"/>
      <c r="F137" s="25" t="n"/>
      <c r="G137" s="25" t="n"/>
      <c r="H137" s="25" t="n"/>
      <c r="K137" s="61" t="inlineStr">
        <is>
          <t>[Ex 1.7] Vm (texto)</t>
        </is>
      </c>
      <c r="L137" s="61" t="str">
        <f>IF(ISNUMBER($L$136),FIXED($L$136,IF(ROUND($L$136,0)=$L$136,0,IF(ROUND($L$136,1)=$L$136,1,IF(ROUND($L$136,2)=$L$136,2,IF(ROUND($L$136,3)=$L$136,3,IF(ROUND($L$136,4)=$L$136,4,IF(ROUND($L$136,5)=$L$136,5,IF(ROUND($L$136,6)=$L$136,6,7)))))))),"?")</f>
        <v>500</v>
      </c>
    </row>
    <row r="138" ht="32" customHeight="1">
      <c r="B138" s="103" t="inlineStr">
        <is>
          <t>Teste na calculadora</t>
        </is>
      </c>
      <c r="C138" s="104" t="inlineStr">
        <is>
          <t>Na aba 03 — Carga Poluidora, vá até a Ferramenta 2 e escolha Exemplo 02 na lista Cenário. Depois troque para Meu cálculo e teste outros valores.</t>
        </is>
      </c>
      <c r="D138" s="104" t="n"/>
      <c r="E138" s="104" t="n"/>
      <c r="F138" s="104" t="n"/>
      <c r="G138" s="104" t="n"/>
      <c r="H138" s="104" t="n"/>
      <c r="K138" s="61" t="inlineStr">
        <is>
          <t>[Ex 1.7] th (arredondado)</t>
        </is>
      </c>
      <c r="L138" s="61">
        <f>IFERROR(ROUND($L$127,IF($L$127=0,0,4-INT(LOG10(ABS($L$127))))),"")</f>
        <v>10</v>
      </c>
    </row>
    <row r="139" ht="14" customHeight="1">
      <c r="K139" s="61" t="inlineStr">
        <is>
          <t>[Ex 1.7] th (texto)</t>
        </is>
      </c>
      <c r="L139" s="61" t="str">
        <f>IF(ISNUMBER($L$138),FIXED($L$138,IF(ROUND($L$138,0)=$L$138,0,IF(ROUND($L$138,1)=$L$138,1,IF(ROUND($L$138,2)=$L$138,2,IF(ROUND($L$138,3)=$L$138,3,IF(ROUND($L$138,4)=$L$138,4,IF(ROUND($L$138,5)=$L$138,5,IF(ROUND($L$138,6)=$L$138,6,7)))))))),"?")</f>
        <v>10</v>
      </c>
    </row>
    <row r="140" ht="26" customHeight="1">
      <c r="B140" s="141" t="inlineStr">
        <is>
          <t>EXEMPLO 2.5   ·   Vazão coerente com um relatório</t>
        </is>
      </c>
      <c r="C140" s="141" t="n"/>
      <c r="D140" s="141" t="n"/>
      <c r="E140" s="141" t="n"/>
      <c r="F140" s="141" t="n"/>
      <c r="G140" s="135" t="inlineStr">
        <is>
          <t>▶ Abrir na calculadora</t>
        </is>
      </c>
      <c r="H140" s="135" t="n"/>
      <c r="K140" s="61" t="inlineStr">
        <is>
          <t>[Ex 1.7] tm (arredondado)</t>
        </is>
      </c>
      <c r="L140" s="61">
        <f>IFERROR(ROUND($L$128,IF($L$128=0,0,4-INT(LOG10(ABS($L$128))))),"")</f>
        <v>600</v>
      </c>
    </row>
    <row r="141" ht="32" customHeight="1">
      <c r="B141" s="64" t="inlineStr">
        <is>
          <t>Situação prática</t>
        </is>
      </c>
      <c r="C141" s="25" t="inlineStr">
        <is>
          <t>Uma amostra indica DBO de 180 mg/L e o relatório informa carga de 72 kg/dia. Qual vazão é coerente com esses dados?</t>
        </is>
      </c>
      <c r="D141" s="25" t="n"/>
      <c r="E141" s="25" t="n"/>
      <c r="F141" s="25" t="n"/>
      <c r="G141" s="25" t="n"/>
      <c r="H141" s="25" t="n"/>
      <c r="K141" s="61" t="inlineStr">
        <is>
          <t>[Ex 1.7] tm (texto)</t>
        </is>
      </c>
      <c r="L141" s="61" t="str">
        <f>IF(ISNUMBER($L$140),FIXED($L$140,IF(ROUND($L$140,0)=$L$140,0,IF(ROUND($L$140,1)=$L$140,1,IF(ROUND($L$140,2)=$L$140,2,IF(ROUND($L$140,3)=$L$140,3,IF(ROUND($L$140,4)=$L$140,4,IF(ROUND($L$140,5)=$L$140,5,IF(ROUND($L$140,6)=$L$140,6,7)))))))),"?")</f>
        <v>600</v>
      </c>
    </row>
    <row r="142" ht="21" customHeight="1">
      <c r="B142" s="64" t="inlineStr">
        <is>
          <t>Dados utilizados</t>
        </is>
      </c>
      <c r="C142" s="25" t="str">
        <f>"Parâmetro: "&amp;'03 — Carga Poluidora'!$C$101&amp;"   |   "&amp;"Carga = "&amp;$L$234&amp;" "&amp;"kg/dia"&amp;"   |   "&amp;"C = "&amp;$L$232&amp;" "&amp;"mg/L"</f>
        <v>Parâmetro: DBO   |   Carga = 72 kg/dia   |   C = 180 mg/L</v>
      </c>
      <c r="D142" s="25" t="n"/>
      <c r="E142" s="25" t="n"/>
      <c r="F142" s="25" t="n"/>
      <c r="G142" s="25" t="n"/>
      <c r="H142" s="25" t="n"/>
      <c r="K142" s="61" t="inlineStr">
        <is>
          <t>[Ex 1.8] fV</t>
        </is>
      </c>
      <c r="L142" s="61">
        <f>IFERROR(CHOOSE(MATCH('02 — Vazão e Hidráulica'!$D$138,{"m³","L"},0),1,0.001),"")</f>
        <v>1</v>
      </c>
    </row>
    <row r="143" ht="24" customHeight="1">
      <c r="B143" s="64" t="inlineStr">
        <is>
          <t>Fórmula</t>
        </is>
      </c>
      <c r="C143" s="136" t="inlineStr">
        <is>
          <t>Q (m³/dia) = Carga (kg/dia) × 1000 ÷ C (mg/L)</t>
        </is>
      </c>
      <c r="D143" s="136" t="n"/>
      <c r="E143" s="136" t="n"/>
      <c r="F143" s="136" t="n"/>
      <c r="G143" s="136" t="n"/>
      <c r="H143" s="136" t="n"/>
      <c r="K143" s="61" t="inlineStr">
        <is>
          <t>[Ex 1.8] Vm</t>
        </is>
      </c>
      <c r="L143" s="61">
        <f>IFERROR('02 — Vazão e Hidráulica'!$D$137*$L$142,"")</f>
        <v>1200</v>
      </c>
    </row>
    <row r="144" ht="21" customHeight="1">
      <c r="B144" s="64" t="inlineStr">
        <is>
          <t>Substituição</t>
        </is>
      </c>
      <c r="C144" s="25" t="str">
        <f>"Q = "&amp;$L$234&amp;" kg/dia × 1000 ÷ "&amp;$L$232&amp;" mg/L = "&amp;$L$236&amp;" m³/dia"</f>
        <v>Q = 72 kg/dia × 1000 ÷ 180 mg/L = 400 m³/dia</v>
      </c>
      <c r="D144" s="25" t="n"/>
      <c r="E144" s="25" t="n"/>
      <c r="F144" s="25" t="n"/>
      <c r="G144" s="25" t="n"/>
      <c r="H144" s="25" t="n"/>
      <c r="K144" s="61" t="inlineStr">
        <is>
          <t>[Ex 1.8] fQ</t>
        </is>
      </c>
      <c r="L144" s="61">
        <f>IFERROR(CHOOSE(MATCH('02 — Vazão e Hidráulica'!$D$140,{"m³/s","L/s","m³/h","m³/dia"},0),1,0.001,1/3600,1/86400),"")</f>
        <v>1.15740740740741e-05</v>
      </c>
    </row>
    <row r="145" ht="47" customHeight="1">
      <c r="B145" s="64" t="inlineStr">
        <is>
          <t>Resolução</t>
        </is>
      </c>
      <c r="C145" s="25" t="str">
        <f>"1) Carga em g/dia: "&amp;$L$234&amp;" × 1000 = "&amp;$L$238&amp;" g/dia."&amp;CHAR(10)&amp;"2) Dividir pela concentração (g/m³): "&amp;$L$238&amp;" ÷ "&amp;$L$232&amp;" = "&amp;$L$236&amp;" m³/dia."&amp;CHAR(10)&amp;"3) Em L/s: "&amp;$L$236&amp;" ÷ 86,4 = "&amp;$L$240&amp;" L/s."</f>
        <v>1) Carga em g/dia: 72 × 1000 = 72.000 g/dia.
2) Dividir pela concentração (g/m³): 72.000 ÷ 180 = 400 m³/dia.
3) Em L/s: 400 ÷ 86,4 = 4,6296 L/s.</v>
      </c>
      <c r="D145" s="25" t="n"/>
      <c r="E145" s="25" t="n"/>
      <c r="F145" s="25" t="n"/>
      <c r="G145" s="25" t="n"/>
      <c r="H145" s="25" t="n"/>
      <c r="K145" s="61" t="inlineStr">
        <is>
          <t>[Ex 1.8] Qh</t>
        </is>
      </c>
      <c r="L145" s="61">
        <f>IFERROR('02 — Vazão e Hidráulica'!$D$139*$L$144*3600,"")</f>
        <v>200</v>
      </c>
    </row>
    <row r="146" ht="22.3" customHeight="1">
      <c r="B146" s="137" t="inlineStr">
        <is>
          <t>Resultado</t>
        </is>
      </c>
      <c r="C146" s="138" t="str">
        <f>"Q = "&amp;$L$236&amp;" m³/dia = "&amp;$L$240&amp;" L/s"</f>
        <v>Q = 400 m³/dia = 4,6296 L/s</v>
      </c>
      <c r="D146" s="138" t="n"/>
      <c r="E146" s="138" t="n"/>
      <c r="F146" s="138" t="n"/>
      <c r="G146" s="138" t="n"/>
      <c r="H146" s="138" t="n"/>
      <c r="K146" s="61" t="inlineStr">
        <is>
          <t>[Ex 1.8] th</t>
        </is>
      </c>
      <c r="L146" s="61">
        <f>IFERROR($L$143/$L$145,"")</f>
        <v>6</v>
      </c>
    </row>
    <row r="147" ht="34" customHeight="1">
      <c r="B147" s="64" t="inlineStr">
        <is>
          <t>Explicação simples</t>
        </is>
      </c>
      <c r="C147" s="25" t="str">
        <f>"Significado físico: para levar "&amp;$L$234&amp;" kg/dia de "&amp;'03 — Carga Poluidora'!$C$101&amp;" com "&amp;$L$232&amp;" mg/L, precisam passar "&amp;$L$236&amp;" m³ de líquido por dia, cerca de "&amp;$L$240&amp;" litros a cada segundo."</f>
        <v>Significado físico: para levar 72 kg/dia de DBO com 180 mg/L, precisam passar 400 m³ de líquido por dia, cerca de 4,6296 litros a cada segundo.</v>
      </c>
      <c r="D147" s="25" t="n"/>
      <c r="E147" s="25" t="n"/>
      <c r="F147" s="25" t="n"/>
      <c r="G147" s="25" t="n"/>
      <c r="H147" s="25" t="n"/>
      <c r="K147" s="61" t="inlineStr">
        <is>
          <t>[Ex 1.8] tm</t>
        </is>
      </c>
      <c r="L147" s="61">
        <f>IFERROR($L$146*60,"")</f>
        <v>360</v>
      </c>
    </row>
    <row r="148" ht="32" customHeight="1">
      <c r="B148" s="103" t="inlineStr">
        <is>
          <t>Teste na calculadora</t>
        </is>
      </c>
      <c r="C148" s="104" t="inlineStr">
        <is>
          <t>Na aba 03 — Carga Poluidora, vá até a Ferramenta 3 e escolha Exemplo 01 na lista Cenário. Depois troque para Meu cálculo e teste outros valores.</t>
        </is>
      </c>
      <c r="D148" s="104" t="n"/>
      <c r="E148" s="104" t="n"/>
      <c r="F148" s="104" t="n"/>
      <c r="G148" s="104" t="n"/>
      <c r="H148" s="104" t="n"/>
      <c r="K148" s="61" t="inlineStr">
        <is>
          <t>[Ex 1.8] td</t>
        </is>
      </c>
      <c r="L148" s="61">
        <f>IFERROR($L$146/24,"")</f>
        <v>0.25</v>
      </c>
    </row>
    <row r="149" ht="14" customHeight="1">
      <c r="K149" s="61" t="inlineStr">
        <is>
          <t>[Ex 1.8] Q (arredondado)</t>
        </is>
      </c>
      <c r="L149" s="61">
        <f>IFERROR(ROUND('02 — Vazão e Hidráulica'!$D$139,IF('02 — Vazão e Hidráulica'!$D$139=0,0,4-INT(LOG10(ABS('02 — Vazão e Hidráulica'!$D$139))))),"")</f>
        <v>4800</v>
      </c>
    </row>
    <row r="150" ht="26" customHeight="1">
      <c r="B150" s="141" t="inlineStr">
        <is>
          <t>EXEMPLO 2.6   ·   Vazão a partir da carga de fósforo</t>
        </is>
      </c>
      <c r="C150" s="141" t="n"/>
      <c r="D150" s="141" t="n"/>
      <c r="E150" s="141" t="n"/>
      <c r="F150" s="141" t="n"/>
      <c r="G150" s="135" t="inlineStr">
        <is>
          <t>▶ Abrir na calculadora</t>
        </is>
      </c>
      <c r="H150" s="135" t="n"/>
      <c r="K150" s="61" t="inlineStr">
        <is>
          <t>[Ex 1.8] Q (texto)</t>
        </is>
      </c>
      <c r="L150" s="61" t="str">
        <f>IF(ISNUMBER($L$149),FIXED($L$149,IF(ROUND($L$149,0)=$L$149,0,IF(ROUND($L$149,1)=$L$149,1,IF(ROUND($L$149,2)=$L$149,2,IF(ROUND($L$149,3)=$L$149,3,IF(ROUND($L$149,4)=$L$149,4,IF(ROUND($L$149,5)=$L$149,5,IF(ROUND($L$149,6)=$L$149,6,7)))))))),"?")</f>
        <v>4.800</v>
      </c>
    </row>
    <row r="151" ht="19" customHeight="1">
      <c r="B151" s="64" t="inlineStr">
        <is>
          <t>Situação prática</t>
        </is>
      </c>
      <c r="C151" s="25" t="inlineStr">
        <is>
          <t>Um efluente leva 6 kg/dia de fósforo total com concentração de 8 mg/L. Qual é a vazão?</t>
        </is>
      </c>
      <c r="D151" s="25" t="n"/>
      <c r="E151" s="25" t="n"/>
      <c r="F151" s="25" t="n"/>
      <c r="G151" s="25" t="n"/>
      <c r="H151" s="25" t="n"/>
      <c r="K151" s="61" t="inlineStr">
        <is>
          <t>[Ex 1.8] V (arredondado)</t>
        </is>
      </c>
      <c r="L151" s="61">
        <f>IFERROR(ROUND('02 — Vazão e Hidráulica'!$D$137,IF('02 — Vazão e Hidráulica'!$D$137=0,0,4-INT(LOG10(ABS('02 — Vazão e Hidráulica'!$D$137))))),"")</f>
        <v>1200</v>
      </c>
    </row>
    <row r="152" ht="21" customHeight="1">
      <c r="B152" s="64" t="inlineStr">
        <is>
          <t>Dados utilizados</t>
        </is>
      </c>
      <c r="C152" s="25" t="str">
        <f>"Parâmetro: "&amp;'03 — Carga Poluidora'!$D$101&amp;"   |   "&amp;"Carga = "&amp;$L$248&amp;" "&amp;"kg/dia"&amp;"   |   "&amp;"C = "&amp;$L$246&amp;" "&amp;"mg/L"</f>
        <v>Parâmetro: Fósforo total   |   Carga = 6 kg/dia   |   C = 8 mg/L</v>
      </c>
      <c r="D152" s="25" t="n"/>
      <c r="E152" s="25" t="n"/>
      <c r="F152" s="25" t="n"/>
      <c r="G152" s="25" t="n"/>
      <c r="H152" s="25" t="n"/>
      <c r="K152" s="61" t="inlineStr">
        <is>
          <t>[Ex 1.8] V (texto)</t>
        </is>
      </c>
      <c r="L152" s="61" t="str">
        <f>IF(ISNUMBER($L$151),FIXED($L$151,IF(ROUND($L$151,0)=$L$151,0,IF(ROUND($L$151,1)=$L$151,1,IF(ROUND($L$151,2)=$L$151,2,IF(ROUND($L$151,3)=$L$151,3,IF(ROUND($L$151,4)=$L$151,4,IF(ROUND($L$151,5)=$L$151,5,IF(ROUND($L$151,6)=$L$151,6,7)))))))),"?")</f>
        <v>1.200</v>
      </c>
    </row>
    <row r="153" ht="24" customHeight="1">
      <c r="B153" s="64" t="inlineStr">
        <is>
          <t>Fórmula</t>
        </is>
      </c>
      <c r="C153" s="136" t="inlineStr">
        <is>
          <t>Q (m³/dia) = Carga (kg/dia) × 1000 ÷ C (mg/L)</t>
        </is>
      </c>
      <c r="D153" s="136" t="n"/>
      <c r="E153" s="136" t="n"/>
      <c r="F153" s="136" t="n"/>
      <c r="G153" s="136" t="n"/>
      <c r="H153" s="136" t="n"/>
      <c r="K153" s="61" t="inlineStr">
        <is>
          <t>[Ex 1.8] Qh (arredondado)</t>
        </is>
      </c>
      <c r="L153" s="61">
        <f>IFERROR(ROUND($L$145,IF($L$145=0,0,4-INT(LOG10(ABS($L$145))))),"")</f>
        <v>200</v>
      </c>
    </row>
    <row r="154" ht="21" customHeight="1">
      <c r="B154" s="64" t="inlineStr">
        <is>
          <t>Substituição</t>
        </is>
      </c>
      <c r="C154" s="25" t="str">
        <f>"Q = "&amp;$L$248&amp;" kg/dia × 1000 ÷ "&amp;$L$246&amp;" mg/L = "&amp;$L$250&amp;" m³/dia"</f>
        <v>Q = 6 kg/dia × 1000 ÷ 8 mg/L = 750 m³/dia</v>
      </c>
      <c r="D154" s="25" t="n"/>
      <c r="E154" s="25" t="n"/>
      <c r="F154" s="25" t="n"/>
      <c r="G154" s="25" t="n"/>
      <c r="H154" s="25" t="n"/>
      <c r="K154" s="61" t="inlineStr">
        <is>
          <t>[Ex 1.8] Qh (texto)</t>
        </is>
      </c>
      <c r="L154" s="61" t="str">
        <f>IF(ISNUMBER($L$153),FIXED($L$153,IF(ROUND($L$153,0)=$L$153,0,IF(ROUND($L$153,1)=$L$153,1,IF(ROUND($L$153,2)=$L$153,2,IF(ROUND($L$153,3)=$L$153,3,IF(ROUND($L$153,4)=$L$153,4,IF(ROUND($L$153,5)=$L$153,5,IF(ROUND($L$153,6)=$L$153,6,7)))))))),"?")</f>
        <v>200</v>
      </c>
    </row>
    <row r="155" ht="47" customHeight="1">
      <c r="B155" s="64" t="inlineStr">
        <is>
          <t>Resolução</t>
        </is>
      </c>
      <c r="C155" s="25" t="str">
        <f>"1) Carga em g/dia: "&amp;$L$248&amp;" × 1000 = "&amp;$L$252&amp;" g/dia."&amp;CHAR(10)&amp;"2) Dividir pela concentração (g/m³): "&amp;$L$252&amp;" ÷ "&amp;$L$246&amp;" = "&amp;$L$250&amp;" m³/dia."&amp;CHAR(10)&amp;"3) Em L/s: "&amp;$L$250&amp;" ÷ 86,4 = "&amp;$L$254&amp;" L/s."</f>
        <v>1) Carga em g/dia: 6 × 1000 = 6.000 g/dia.
2) Dividir pela concentração (g/m³): 6.000 ÷ 8 = 750 m³/dia.
3) Em L/s: 750 ÷ 86,4 = 8,6806 L/s.</v>
      </c>
      <c r="D155" s="25" t="n"/>
      <c r="E155" s="25" t="n"/>
      <c r="F155" s="25" t="n"/>
      <c r="G155" s="25" t="n"/>
      <c r="H155" s="25" t="n"/>
      <c r="K155" s="61" t="inlineStr">
        <is>
          <t>[Ex 1.8] Vm (arredondado)</t>
        </is>
      </c>
      <c r="L155" s="61">
        <f>IFERROR(ROUND($L$143,IF($L$143=0,0,4-INT(LOG10(ABS($L$143))))),"")</f>
        <v>1200</v>
      </c>
    </row>
    <row r="156" ht="22.3" customHeight="1">
      <c r="B156" s="137" t="inlineStr">
        <is>
          <t>Resultado</t>
        </is>
      </c>
      <c r="C156" s="138" t="str">
        <f>"Q = "&amp;$L$250&amp;" m³/dia = "&amp;$L$254&amp;" L/s"</f>
        <v>Q = 750 m³/dia = 8,6806 L/s</v>
      </c>
      <c r="D156" s="138" t="n"/>
      <c r="E156" s="138" t="n"/>
      <c r="F156" s="138" t="n"/>
      <c r="G156" s="138" t="n"/>
      <c r="H156" s="138" t="n"/>
      <c r="K156" s="61" t="inlineStr">
        <is>
          <t>[Ex 1.8] Vm (texto)</t>
        </is>
      </c>
      <c r="L156" s="61" t="str">
        <f>IF(ISNUMBER($L$155),FIXED($L$155,IF(ROUND($L$155,0)=$L$155,0,IF(ROUND($L$155,1)=$L$155,1,IF(ROUND($L$155,2)=$L$155,2,IF(ROUND($L$155,3)=$L$155,3,IF(ROUND($L$155,4)=$L$155,4,IF(ROUND($L$155,5)=$L$155,5,IF(ROUND($L$155,6)=$L$155,6,7)))))))),"?")</f>
        <v>1.200</v>
      </c>
    </row>
    <row r="157" ht="34" customHeight="1">
      <c r="B157" s="64" t="inlineStr">
        <is>
          <t>Explicação simples</t>
        </is>
      </c>
      <c r="C157" s="25" t="str">
        <f>"Significado físico: para levar "&amp;$L$248&amp;" kg/dia de "&amp;'03 — Carga Poluidora'!$D$101&amp;" com "&amp;$L$246&amp;" mg/L, precisam passar "&amp;$L$250&amp;" m³ de líquido por dia, cerca de "&amp;$L$254&amp;" litros a cada segundo."</f>
        <v>Significado físico: para levar 6 kg/dia de Fósforo total com 8 mg/L, precisam passar 750 m³ de líquido por dia, cerca de 8,6806 litros a cada segundo.</v>
      </c>
      <c r="D157" s="25" t="n"/>
      <c r="E157" s="25" t="n"/>
      <c r="F157" s="25" t="n"/>
      <c r="G157" s="25" t="n"/>
      <c r="H157" s="25" t="n"/>
      <c r="K157" s="61" t="inlineStr">
        <is>
          <t>[Ex 1.8] th (arredondado)</t>
        </is>
      </c>
      <c r="L157" s="61">
        <f>IFERROR(ROUND($L$146,IF($L$146=0,0,4-INT(LOG10(ABS($L$146))))),"")</f>
        <v>6</v>
      </c>
    </row>
    <row r="158" ht="32" customHeight="1">
      <c r="B158" s="103" t="inlineStr">
        <is>
          <t>Teste na calculadora</t>
        </is>
      </c>
      <c r="C158" s="104" t="inlineStr">
        <is>
          <t>Na aba 03 — Carga Poluidora, vá até a Ferramenta 3 e escolha Exemplo 02 na lista Cenário. Depois troque para Meu cálculo e teste outros valores.</t>
        </is>
      </c>
      <c r="D158" s="104" t="n"/>
      <c r="E158" s="104" t="n"/>
      <c r="F158" s="104" t="n"/>
      <c r="G158" s="104" t="n"/>
      <c r="H158" s="104" t="n"/>
      <c r="K158" s="61" t="inlineStr">
        <is>
          <t>[Ex 1.8] th (texto)</t>
        </is>
      </c>
      <c r="L158" s="61" t="str">
        <f>IF(ISNUMBER($L$157),FIXED($L$157,IF(ROUND($L$157,0)=$L$157,0,IF(ROUND($L$157,1)=$L$157,1,IF(ROUND($L$157,2)=$L$157,2,IF(ROUND($L$157,3)=$L$157,3,IF(ROUND($L$157,4)=$L$157,4,IF(ROUND($L$157,5)=$L$157,5,IF(ROUND($L$157,6)=$L$157,6,7)))))))),"?")</f>
        <v>6</v>
      </c>
    </row>
    <row r="159" ht="14" customHeight="1">
      <c r="K159" s="61" t="inlineStr">
        <is>
          <t>[Ex 1.8] tm (arredondado)</t>
        </is>
      </c>
      <c r="L159" s="61">
        <f>IFERROR(ROUND($L$147,IF($L$147=0,0,4-INT(LOG10(ABS($L$147))))),"")</f>
        <v>360</v>
      </c>
    </row>
    <row r="160">
      <c r="K160" s="61" t="inlineStr">
        <is>
          <t>[Ex 1.8] tm (texto)</t>
        </is>
      </c>
      <c r="L160" s="61" t="str">
        <f>IF(ISNUMBER($L$159),FIXED($L$159,IF(ROUND($L$159,0)=$L$159,0,IF(ROUND($L$159,1)=$L$159,1,IF(ROUND($L$159,2)=$L$159,2,IF(ROUND($L$159,3)=$L$159,3,IF(ROUND($L$159,4)=$L$159,4,IF(ROUND($L$159,5)=$L$159,5,IF(ROUND($L$159,6)=$L$159,6,7)))))))),"?")</f>
        <v>360</v>
      </c>
    </row>
    <row r="161" ht="32" customHeight="1">
      <c r="B161" s="142" t="inlineStr">
        <is>
          <t>📉  CALCULADORA 03 · EFICIÊNCIA DE TRATAMENTO</t>
        </is>
      </c>
      <c r="C161" s="142" t="n"/>
      <c r="D161" s="142" t="n"/>
      <c r="E161" s="142" t="n"/>
      <c r="F161" s="142" t="n"/>
      <c r="G161" s="142" t="n"/>
      <c r="H161" s="143" t="inlineStr">
        <is>
          <t>▲ Voltar ao índice</t>
        </is>
      </c>
      <c r="K161" s="61" t="inlineStr">
        <is>
          <t>[Ex 2.1] fQ</t>
        </is>
      </c>
      <c r="L161" s="61">
        <f>IFERROR(CHOOSE(MATCH('03 — Carga Poluidora'!$C$31,{"m³/dia","m³/h","L/s"},0),1,24,86.4),"")</f>
        <v>1</v>
      </c>
    </row>
    <row r="162" ht="8" customHeight="1">
      <c r="K162" s="61" t="inlineStr">
        <is>
          <t>[Ex 2.1] Qd</t>
        </is>
      </c>
      <c r="L162" s="61">
        <f>IFERROR('03 — Carga Poluidora'!$C$30*$L$161,"")</f>
        <v>400</v>
      </c>
    </row>
    <row r="163" ht="26" customHeight="1">
      <c r="B163" s="144" t="inlineStr">
        <is>
          <t>EXEMPLO 3.1   ·   Eficiência de uma ETE em DBO</t>
        </is>
      </c>
      <c r="C163" s="144" t="n"/>
      <c r="D163" s="144" t="n"/>
      <c r="E163" s="144" t="n"/>
      <c r="F163" s="144" t="n"/>
      <c r="G163" s="135" t="inlineStr">
        <is>
          <t>▶ Abrir na calculadora</t>
        </is>
      </c>
      <c r="H163" s="135" t="n"/>
      <c r="K163" s="61" t="inlineStr">
        <is>
          <t>[Ex 2.1] kg</t>
        </is>
      </c>
      <c r="L163" s="61">
        <f>IFERROR($L$162*'03 — Carga Poluidora'!$C$32*0.001,"")</f>
        <v>72</v>
      </c>
    </row>
    <row r="164" ht="32" customHeight="1">
      <c r="B164" s="64" t="inlineStr">
        <is>
          <t>Situação prática</t>
        </is>
      </c>
      <c r="C164" s="25" t="inlineStr">
        <is>
          <t>Uma ETE recebe esgoto com DBO de 250 mg/L e o efluente tratado sai com 50 mg/L. Qual é a eficiência de remoção?</t>
        </is>
      </c>
      <c r="D164" s="25" t="n"/>
      <c r="E164" s="25" t="n"/>
      <c r="F164" s="25" t="n"/>
      <c r="G164" s="25" t="n"/>
      <c r="H164" s="25" t="n"/>
      <c r="K164" s="61" t="inlineStr">
        <is>
          <t>[Ex 2.1] g</t>
        </is>
      </c>
      <c r="L164" s="61">
        <f>IFERROR($L$163*1000,"")</f>
        <v>72000</v>
      </c>
    </row>
    <row r="165" ht="21" customHeight="1">
      <c r="B165" s="64" t="inlineStr">
        <is>
          <t>Dados utilizados</t>
        </is>
      </c>
      <c r="C165" s="25" t="str">
        <f>"Parâmetro: "&amp;'04 — Eficiência de Tratamento'!$C$28&amp;"   |   "&amp;"Ce = "&amp;$L$261&amp;" "&amp;"mg/L"&amp;"   |   "&amp;"Cs = "&amp;$L$263&amp;" "&amp;"mg/L"</f>
        <v>Parâmetro: DBO   |   Ce = 250 mg/L   |   Cs = 50 mg/L</v>
      </c>
      <c r="D165" s="25" t="n"/>
      <c r="E165" s="25" t="n"/>
      <c r="F165" s="25" t="n"/>
      <c r="G165" s="25" t="n"/>
      <c r="H165" s="25" t="n"/>
      <c r="K165" s="61" t="inlineStr">
        <is>
          <t>[Ex 2.1] ano</t>
        </is>
      </c>
      <c r="L165" s="61">
        <f>IFERROR($L$163*365,"")</f>
        <v>26280</v>
      </c>
    </row>
    <row r="166" ht="24" customHeight="1">
      <c r="B166" s="64" t="inlineStr">
        <is>
          <t>Fórmula</t>
        </is>
      </c>
      <c r="C166" s="136" t="inlineStr">
        <is>
          <t>Eficiência (%) = (Ce − Cs) ÷ Ce × 100</t>
        </is>
      </c>
      <c r="D166" s="136" t="n"/>
      <c r="E166" s="136" t="n"/>
      <c r="F166" s="136" t="n"/>
      <c r="G166" s="136" t="n"/>
      <c r="H166" s="136" t="n"/>
      <c r="K166" s="61" t="inlineStr">
        <is>
          <t>[Ex 2.1] hab</t>
        </is>
      </c>
      <c r="L166" s="61">
        <f>IFERROR(ROUND($L$163*1000/54,0),"")</f>
        <v>1333</v>
      </c>
    </row>
    <row r="167" ht="21" customHeight="1">
      <c r="B167" s="64" t="inlineStr">
        <is>
          <t>Substituição</t>
        </is>
      </c>
      <c r="C167" s="25" t="str">
        <f>"E = ("&amp;$L$261&amp;" − "&amp;$L$263&amp;") ÷ "&amp;$L$261&amp;" × 100 = "&amp;$L$267&amp;" ÷ "&amp;$L$261&amp;" × 100 = "&amp;$L$265&amp;"%"</f>
        <v>E = (250 − 50) ÷ 250 × 100 = 200 ÷ 250 × 100 = 80%</v>
      </c>
      <c r="D167" s="25" t="n"/>
      <c r="E167" s="25" t="n"/>
      <c r="F167" s="25" t="n"/>
      <c r="G167" s="25" t="n"/>
      <c r="H167" s="25" t="n"/>
      <c r="K167" s="61" t="inlineStr">
        <is>
          <t>[Ex 2.1] C (arredondado)</t>
        </is>
      </c>
      <c r="L167" s="61">
        <f>IFERROR(ROUND('03 — Carga Poluidora'!$C$32,IF('03 — Carga Poluidora'!$C$32=0,0,4-INT(LOG10(ABS('03 — Carga Poluidora'!$C$32))))),"")</f>
        <v>180</v>
      </c>
    </row>
    <row r="168" ht="47" customHeight="1">
      <c r="B168" s="64" t="inlineStr">
        <is>
          <t>Resolução</t>
        </is>
      </c>
      <c r="C168" s="25" t="str">
        <f>"1) Diferença: "&amp;$L$261&amp;" − "&amp;$L$263&amp;" = "&amp;$L$267&amp;" mg/L."&amp;CHAR(10)&amp;"2) Dividir pela entrada: "&amp;$L$267&amp;" ÷ "&amp;$L$261&amp;" = "&amp;$L$269&amp;"."&amp;CHAR(10)&amp;"3) Multiplicar por 100: E = "&amp;$L$265&amp;"%."</f>
        <v>1) Diferença: 250 − 50 = 200 mg/L.
2) Dividir pela entrada: 200 ÷ 250 = 0,8.
3) Multiplicar por 100: E = 80%.</v>
      </c>
      <c r="D168" s="25" t="n"/>
      <c r="E168" s="25" t="n"/>
      <c r="F168" s="25" t="n"/>
      <c r="G168" s="25" t="n"/>
      <c r="H168" s="25" t="n"/>
      <c r="K168" s="61" t="inlineStr">
        <is>
          <t>[Ex 2.1] C (texto)</t>
        </is>
      </c>
      <c r="L168" s="61" t="str">
        <f>IF(ISNUMBER($L$167),FIXED($L$167,IF(ROUND($L$167,0)=$L$167,0,IF(ROUND($L$167,1)=$L$167,1,IF(ROUND($L$167,2)=$L$167,2,IF(ROUND($L$167,3)=$L$167,3,IF(ROUND($L$167,4)=$L$167,4,IF(ROUND($L$167,5)=$L$167,5,IF(ROUND($L$167,6)=$L$167,6,7)))))))),"?")</f>
        <v>180</v>
      </c>
    </row>
    <row r="169" ht="22.3" customHeight="1">
      <c r="B169" s="137" t="inlineStr">
        <is>
          <t>Resultado</t>
        </is>
      </c>
      <c r="C169" s="138" t="str">
        <f>"Eficiência = "&amp;$L$265&amp;"%"</f>
        <v>Eficiência = 80%</v>
      </c>
      <c r="D169" s="138" t="n"/>
      <c r="E169" s="138" t="n"/>
      <c r="F169" s="138" t="n"/>
      <c r="G169" s="138" t="n"/>
      <c r="H169" s="138" t="n"/>
      <c r="K169" s="61" t="inlineStr">
        <is>
          <t>[Ex 2.1] Q (arredondado)</t>
        </is>
      </c>
      <c r="L169" s="61">
        <f>IFERROR(ROUND('03 — Carga Poluidora'!$C$30,IF('03 — Carga Poluidora'!$C$30=0,0,4-INT(LOG10(ABS('03 — Carga Poluidora'!$C$30))))),"")</f>
        <v>400</v>
      </c>
    </row>
    <row r="170" ht="21" customHeight="1">
      <c r="B170" s="64" t="inlineStr">
        <is>
          <t>Explicação simples</t>
        </is>
      </c>
      <c r="C170" s="25" t="str">
        <f>IF($L$256&gt;0,"Houve redução de "&amp;'04 — Eficiência de Tratamento'!$C$28&amp;": o sistema removeu "&amp;$L$265&amp;"% da concentração de entrada.",IF($L$256=0,"Não houve redução: o valor de saída é igual ao de entrada.","Houve aumento de "&amp;'04 — Eficiência de Tratamento'!$C$28&amp;": a saída ficou "&amp;$L$271&amp;"% acima da entrada. Confira os dados e o funcionamento do sistema."))</f>
        <v>Houve redução de DBO: o sistema removeu 80% da concentração de entrada.</v>
      </c>
      <c r="D170" s="25" t="n"/>
      <c r="E170" s="25" t="n"/>
      <c r="F170" s="25" t="n"/>
      <c r="G170" s="25" t="n"/>
      <c r="H170" s="25" t="n"/>
      <c r="K170" s="61" t="inlineStr">
        <is>
          <t>[Ex 2.1] Q (texto)</t>
        </is>
      </c>
      <c r="L170" s="61" t="str">
        <f>IF(ISNUMBER($L$169),FIXED($L$169,IF(ROUND($L$169,0)=$L$169,0,IF(ROUND($L$169,1)=$L$169,1,IF(ROUND($L$169,2)=$L$169,2,IF(ROUND($L$169,3)=$L$169,3,IF(ROUND($L$169,4)=$L$169,4,IF(ROUND($L$169,5)=$L$169,5,IF(ROUND($L$169,6)=$L$169,6,7)))))))),"?")</f>
        <v>400</v>
      </c>
    </row>
    <row r="171" ht="32" customHeight="1">
      <c r="B171" s="103" t="inlineStr">
        <is>
          <t>Teste na calculadora</t>
        </is>
      </c>
      <c r="C171" s="104" t="inlineStr">
        <is>
          <t>Na aba 04 — Eficiência de Tratamento, vá até a Ferramenta 1 e escolha Exemplo 01 na lista Cenário. Depois troque para Meu cálculo e teste outros valores.</t>
        </is>
      </c>
      <c r="D171" s="104" t="n"/>
      <c r="E171" s="104" t="n"/>
      <c r="F171" s="104" t="n"/>
      <c r="G171" s="104" t="n"/>
      <c r="H171" s="104" t="n"/>
      <c r="K171" s="61" t="inlineStr">
        <is>
          <t>[Ex 2.1] Qd (arredondado)</t>
        </is>
      </c>
      <c r="L171" s="61">
        <f>IFERROR(ROUND($L$162,IF($L$162=0,0,4-INT(LOG10(ABS($L$162))))),"")</f>
        <v>400</v>
      </c>
    </row>
    <row r="172" ht="14" customHeight="1">
      <c r="K172" s="61" t="inlineStr">
        <is>
          <t>[Ex 2.1] Qd (texto)</t>
        </is>
      </c>
      <c r="L172" s="61" t="str">
        <f>IF(ISNUMBER($L$171),FIXED($L$171,IF(ROUND($L$171,0)=$L$171,0,IF(ROUND($L$171,1)=$L$171,1,IF(ROUND($L$171,2)=$L$171,2,IF(ROUND($L$171,3)=$L$171,3,IF(ROUND($L$171,4)=$L$171,4,IF(ROUND($L$171,5)=$L$171,5,IF(ROUND($L$171,6)=$L$171,6,7)))))))),"?")</f>
        <v>400</v>
      </c>
    </row>
    <row r="173" ht="26" customHeight="1">
      <c r="B173" s="144" t="inlineStr">
        <is>
          <t>EXEMPLO 3.2   ·   Reator anaeróbio em DQO</t>
        </is>
      </c>
      <c r="C173" s="144" t="n"/>
      <c r="D173" s="144" t="n"/>
      <c r="E173" s="144" t="n"/>
      <c r="F173" s="144" t="n"/>
      <c r="G173" s="135" t="inlineStr">
        <is>
          <t>▶ Abrir na calculadora</t>
        </is>
      </c>
      <c r="H173" s="135" t="n"/>
      <c r="K173" s="61" t="inlineStr">
        <is>
          <t>[Ex 2.1] kg (arredondado)</t>
        </is>
      </c>
      <c r="L173" s="61">
        <f>IFERROR(ROUND($L$163,IF($L$163=0,0,4-INT(LOG10(ABS($L$163))))),"")</f>
        <v>72</v>
      </c>
    </row>
    <row r="174" ht="19" customHeight="1">
      <c r="B174" s="64" t="inlineStr">
        <is>
          <t>Situação prática</t>
        </is>
      </c>
      <c r="C174" s="25" t="inlineStr">
        <is>
          <t>Um reator anaeróbio recebe DQO de 600 mg/L e libera 180 mg/L. Qual é a eficiência?</t>
        </is>
      </c>
      <c r="D174" s="25" t="n"/>
      <c r="E174" s="25" t="n"/>
      <c r="F174" s="25" t="n"/>
      <c r="G174" s="25" t="n"/>
      <c r="H174" s="25" t="n"/>
      <c r="K174" s="61" t="inlineStr">
        <is>
          <t>[Ex 2.1] kg (texto)</t>
        </is>
      </c>
      <c r="L174" s="61" t="str">
        <f>IF(ISNUMBER($L$173),FIXED($L$173,IF(ROUND($L$173,0)=$L$173,0,IF(ROUND($L$173,1)=$L$173,1,IF(ROUND($L$173,2)=$L$173,2,IF(ROUND($L$173,3)=$L$173,3,IF(ROUND($L$173,4)=$L$173,4,IF(ROUND($L$173,5)=$L$173,5,IF(ROUND($L$173,6)=$L$173,6,7)))))))),"?")</f>
        <v>72</v>
      </c>
    </row>
    <row r="175" ht="21" customHeight="1">
      <c r="B175" s="64" t="inlineStr">
        <is>
          <t>Dados utilizados</t>
        </is>
      </c>
      <c r="C175" s="25" t="str">
        <f>"Parâmetro: "&amp;'04 — Eficiência de Tratamento'!$D$28&amp;"   |   "&amp;"Ce = "&amp;$L$278&amp;" "&amp;"mg/L"&amp;"   |   "&amp;"Cs = "&amp;$L$280&amp;" "&amp;"mg/L"</f>
        <v>Parâmetro: DQO   |   Ce = 600 mg/L   |   Cs = 180 mg/L</v>
      </c>
      <c r="D175" s="25" t="n"/>
      <c r="E175" s="25" t="n"/>
      <c r="F175" s="25" t="n"/>
      <c r="G175" s="25" t="n"/>
      <c r="H175" s="25" t="n"/>
      <c r="K175" s="61" t="inlineStr">
        <is>
          <t>[Ex 2.1] g (arredondado)</t>
        </is>
      </c>
      <c r="L175" s="61">
        <f>IFERROR(ROUND($L$164,IF($L$164=0,0,4-INT(LOG10(ABS($L$164))))),"")</f>
        <v>72000</v>
      </c>
    </row>
    <row r="176" ht="24" customHeight="1">
      <c r="B176" s="64" t="inlineStr">
        <is>
          <t>Fórmula</t>
        </is>
      </c>
      <c r="C176" s="136" t="inlineStr">
        <is>
          <t>Eficiência (%) = (Ce − Cs) ÷ Ce × 100</t>
        </is>
      </c>
      <c r="D176" s="136" t="n"/>
      <c r="E176" s="136" t="n"/>
      <c r="F176" s="136" t="n"/>
      <c r="G176" s="136" t="n"/>
      <c r="H176" s="136" t="n"/>
      <c r="K176" s="61" t="inlineStr">
        <is>
          <t>[Ex 2.1] g (texto)</t>
        </is>
      </c>
      <c r="L176" s="61" t="str">
        <f>IF(ISNUMBER($L$175),FIXED($L$175,IF(ROUND($L$175,0)=$L$175,0,IF(ROUND($L$175,1)=$L$175,1,IF(ROUND($L$175,2)=$L$175,2,IF(ROUND($L$175,3)=$L$175,3,IF(ROUND($L$175,4)=$L$175,4,IF(ROUND($L$175,5)=$L$175,5,IF(ROUND($L$175,6)=$L$175,6,7)))))))),"?")</f>
        <v>72.000</v>
      </c>
    </row>
    <row r="177" ht="21" customHeight="1">
      <c r="B177" s="64" t="inlineStr">
        <is>
          <t>Substituição</t>
        </is>
      </c>
      <c r="C177" s="25" t="str">
        <f>"E = ("&amp;$L$278&amp;" − "&amp;$L$280&amp;") ÷ "&amp;$L$278&amp;" × 100 = "&amp;$L$284&amp;" ÷ "&amp;$L$278&amp;" × 100 = "&amp;$L$282&amp;"%"</f>
        <v>E = (600 − 180) ÷ 600 × 100 = 420 ÷ 600 × 100 = 70%</v>
      </c>
      <c r="D177" s="25" t="n"/>
      <c r="E177" s="25" t="n"/>
      <c r="F177" s="25" t="n"/>
      <c r="G177" s="25" t="n"/>
      <c r="H177" s="25" t="n"/>
      <c r="K177" s="61" t="inlineStr">
        <is>
          <t>[Ex 2.1] hab (arredondado)</t>
        </is>
      </c>
      <c r="L177" s="61">
        <f>IFERROR(ROUND($L$166,IF($L$166=0,0,4-INT(LOG10(ABS($L$166))))),"")</f>
        <v>1333</v>
      </c>
    </row>
    <row r="178" ht="47" customHeight="1">
      <c r="B178" s="64" t="inlineStr">
        <is>
          <t>Resolução</t>
        </is>
      </c>
      <c r="C178" s="25" t="str">
        <f>"1) Diferença: "&amp;$L$278&amp;" − "&amp;$L$280&amp;" = "&amp;$L$284&amp;" mg/L."&amp;CHAR(10)&amp;"2) Dividir pela entrada: "&amp;$L$284&amp;" ÷ "&amp;$L$278&amp;" = "&amp;$L$286&amp;"."&amp;CHAR(10)&amp;"3) Multiplicar por 100: E = "&amp;$L$282&amp;"%."</f>
        <v>1) Diferença: 600 − 180 = 420 mg/L.
2) Dividir pela entrada: 420 ÷ 600 = 0,7.
3) Multiplicar por 100: E = 70%.</v>
      </c>
      <c r="D178" s="25" t="n"/>
      <c r="E178" s="25" t="n"/>
      <c r="F178" s="25" t="n"/>
      <c r="G178" s="25" t="n"/>
      <c r="H178" s="25" t="n"/>
      <c r="K178" s="61" t="inlineStr">
        <is>
          <t>[Ex 2.1] hab (texto)</t>
        </is>
      </c>
      <c r="L178" s="61" t="str">
        <f>IF(ISNUMBER($L$177),FIXED($L$177,IF(ROUND($L$177,0)=$L$177,0,IF(ROUND($L$177,1)=$L$177,1,IF(ROUND($L$177,2)=$L$177,2,IF(ROUND($L$177,3)=$L$177,3,IF(ROUND($L$177,4)=$L$177,4,IF(ROUND($L$177,5)=$L$177,5,IF(ROUND($L$177,6)=$L$177,6,7)))))))),"?")</f>
        <v>1.333</v>
      </c>
    </row>
    <row r="179" ht="22.3" customHeight="1">
      <c r="B179" s="137" t="inlineStr">
        <is>
          <t>Resultado</t>
        </is>
      </c>
      <c r="C179" s="138" t="str">
        <f>"Eficiência = "&amp;$L$282&amp;"%"</f>
        <v>Eficiência = 70%</v>
      </c>
      <c r="D179" s="138" t="n"/>
      <c r="E179" s="138" t="n"/>
      <c r="F179" s="138" t="n"/>
      <c r="G179" s="138" t="n"/>
      <c r="H179" s="138" t="n"/>
      <c r="K179" s="61" t="inlineStr">
        <is>
          <t>[Ex 2.2] fQ</t>
        </is>
      </c>
      <c r="L179" s="61">
        <f>IFERROR(CHOOSE(MATCH('03 — Carga Poluidora'!$D$31,{"m³/dia","m³/h","L/s"},0),1,24,86.4),"")</f>
        <v>86.4</v>
      </c>
    </row>
    <row r="180" ht="21" customHeight="1">
      <c r="B180" s="64" t="inlineStr">
        <is>
          <t>Explicação simples</t>
        </is>
      </c>
      <c r="C180" s="25" t="str">
        <f>IF($L$273&gt;0,"Houve redução de "&amp;'04 — Eficiência de Tratamento'!$D$28&amp;": o sistema removeu "&amp;$L$282&amp;"% da concentração de entrada.",IF($L$273=0,"Não houve redução: o valor de saída é igual ao de entrada.","Houve aumento de "&amp;'04 — Eficiência de Tratamento'!$D$28&amp;": a saída ficou "&amp;$L$288&amp;"% acima da entrada. Confira os dados e o funcionamento do sistema."))</f>
        <v>Houve redução de DQO: o sistema removeu 70% da concentração de entrada.</v>
      </c>
      <c r="D180" s="25" t="n"/>
      <c r="E180" s="25" t="n"/>
      <c r="F180" s="25" t="n"/>
      <c r="G180" s="25" t="n"/>
      <c r="H180" s="25" t="n"/>
      <c r="K180" s="61" t="inlineStr">
        <is>
          <t>[Ex 2.2] Qd</t>
        </is>
      </c>
      <c r="L180" s="61">
        <f>IFERROR('03 — Carga Poluidora'!$D$30*$L$179,"")</f>
        <v>432</v>
      </c>
    </row>
    <row r="181" ht="32" customHeight="1">
      <c r="B181" s="103" t="inlineStr">
        <is>
          <t>Teste na calculadora</t>
        </is>
      </c>
      <c r="C181" s="104" t="inlineStr">
        <is>
          <t>Na aba 04 — Eficiência de Tratamento, vá até a Ferramenta 1 e escolha Exemplo 02 na lista Cenário. Depois troque para Meu cálculo e teste outros valores.</t>
        </is>
      </c>
      <c r="D181" s="104" t="n"/>
      <c r="E181" s="104" t="n"/>
      <c r="F181" s="104" t="n"/>
      <c r="G181" s="104" t="n"/>
      <c r="H181" s="104" t="n"/>
      <c r="K181" s="61" t="inlineStr">
        <is>
          <t>[Ex 2.2] kg</t>
        </is>
      </c>
      <c r="L181" s="61">
        <f>IFERROR($L$180*'03 — Carga Poluidora'!$D$32*0.001,"")</f>
        <v>108</v>
      </c>
    </row>
    <row r="182" ht="14" customHeight="1">
      <c r="K182" s="61" t="inlineStr">
        <is>
          <t>[Ex 2.2] g</t>
        </is>
      </c>
      <c r="L182" s="61">
        <f>IFERROR($L$181*1000,"")</f>
        <v>108000</v>
      </c>
    </row>
    <row r="183" ht="26" customHeight="1">
      <c r="B183" s="144" t="inlineStr">
        <is>
          <t>EXEMPLO 3.3   ·   ETE com perda de vazão</t>
        </is>
      </c>
      <c r="C183" s="144" t="n"/>
      <c r="D183" s="144" t="n"/>
      <c r="E183" s="144" t="n"/>
      <c r="F183" s="144" t="n"/>
      <c r="G183" s="135" t="inlineStr">
        <is>
          <t>▶ Abrir na calculadora</t>
        </is>
      </c>
      <c r="H183" s="135" t="n"/>
      <c r="K183" s="61" t="inlineStr">
        <is>
          <t>[Ex 2.2] ano</t>
        </is>
      </c>
      <c r="L183" s="61">
        <f>IFERROR($L$181*365,"")</f>
        <v>39420</v>
      </c>
    </row>
    <row r="184" ht="32" customHeight="1">
      <c r="B184" s="64" t="inlineStr">
        <is>
          <t>Situação prática</t>
        </is>
      </c>
      <c r="C184" s="25" t="inlineStr">
        <is>
          <t>Uma ETE recebe 500 m³/dia com 200 mg/L de DBO. Parte da água sai com o lodo, e o efluente final tem 400 m³/dia com 50 mg/L.</t>
        </is>
      </c>
      <c r="D184" s="25" t="n"/>
      <c r="E184" s="25" t="n"/>
      <c r="F184" s="25" t="n"/>
      <c r="G184" s="25" t="n"/>
      <c r="H184" s="25" t="n"/>
      <c r="K184" s="61" t="inlineStr">
        <is>
          <t>[Ex 2.2] hab</t>
        </is>
      </c>
      <c r="L184" s="61">
        <f>IFERROR(ROUND($L$181*1000/54,0),"")</f>
        <v>2000</v>
      </c>
    </row>
    <row r="185" ht="21" customHeight="1">
      <c r="B185" s="64" t="inlineStr">
        <is>
          <t>Dados utilizados</t>
        </is>
      </c>
      <c r="C185" s="25" t="str">
        <f>"Parâmetro: "&amp;'04 — Eficiência de Tratamento'!$C$80&amp;"   |   "&amp;"Qe = "&amp;$L$300&amp;" "&amp;"m³/dia"&amp;"   |   "&amp;"Ce = "&amp;$L$296&amp;" "&amp;"mg/L"&amp;"   |   "&amp;"Qs = "&amp;$L$302&amp;" "&amp;"m³/dia"&amp;"   |   "&amp;"Cs = "&amp;$L$298&amp;" "&amp;"mg/L"</f>
        <v>Parâmetro: DBO   |   Qe = 500 m³/dia   |   Ce = 200 mg/L   |   Qs = 400 m³/dia   |   Cs = 50 mg/L</v>
      </c>
      <c r="D185" s="25" t="n"/>
      <c r="E185" s="25" t="n"/>
      <c r="F185" s="25" t="n"/>
      <c r="G185" s="25" t="n"/>
      <c r="H185" s="25" t="n"/>
      <c r="K185" s="61" t="inlineStr">
        <is>
          <t>[Ex 2.2] C (arredondado)</t>
        </is>
      </c>
      <c r="L185" s="61">
        <f>IFERROR(ROUND('03 — Carga Poluidora'!$D$32,IF('03 — Carga Poluidora'!$D$32=0,0,4-INT(LOG10(ABS('03 — Carga Poluidora'!$D$32))))),"")</f>
        <v>250</v>
      </c>
    </row>
    <row r="186" ht="34.6" customHeight="1">
      <c r="B186" s="64" t="inlineStr">
        <is>
          <t>Fórmula</t>
        </is>
      </c>
      <c r="C186" s="136" t="inlineStr">
        <is>
          <t>Carga = Q × C × 0,001     |     Eficiência (%) = (Carga entrada − Carga saída) ÷ Carga entrada × 100</t>
        </is>
      </c>
      <c r="D186" s="136" t="n"/>
      <c r="E186" s="136" t="n"/>
      <c r="F186" s="136" t="n"/>
      <c r="G186" s="136" t="n"/>
      <c r="H186" s="136" t="n"/>
      <c r="K186" s="61" t="inlineStr">
        <is>
          <t>[Ex 2.2] C (texto)</t>
        </is>
      </c>
      <c r="L186" s="61" t="str">
        <f>IF(ISNUMBER($L$185),FIXED($L$185,IF(ROUND($L$185,0)=$L$185,0,IF(ROUND($L$185,1)=$L$185,1,IF(ROUND($L$185,2)=$L$185,2,IF(ROUND($L$185,3)=$L$185,3,IF(ROUND($L$185,4)=$L$185,4,IF(ROUND($L$185,5)=$L$185,5,IF(ROUND($L$185,6)=$L$185,6,7)))))))),"?")</f>
        <v>250</v>
      </c>
    </row>
    <row r="187" ht="47" customHeight="1">
      <c r="B187" s="64" t="inlineStr">
        <is>
          <t>Substituição</t>
        </is>
      </c>
      <c r="C187" s="25" t="str">
        <f>"Carga entrada = "&amp;$L$300&amp;" × "&amp;$L$296&amp;" × 0,001 = "&amp;$L$306&amp;" kg/dia"&amp;CHAR(10)&amp;"Carga saída = "&amp;$L$302&amp;" × "&amp;$L$298&amp;" × 0,001 = "&amp;$L$308&amp;" kg/dia"&amp;CHAR(10)&amp;"E = ("&amp;$L$306&amp;" − "&amp;$L$308&amp;") ÷ "&amp;$L$306&amp;" × 100 = "&amp;$L$304&amp;"%"</f>
        <v>Carga entrada = 500 × 200 × 0,001 = 100 kg/dia
Carga saída = 400 × 50 × 0,001 = 20 kg/dia
E = (100 − 20) ÷ 100 × 100 = 80%</v>
      </c>
      <c r="D187" s="25" t="n"/>
      <c r="E187" s="25" t="n"/>
      <c r="F187" s="25" t="n"/>
      <c r="G187" s="25" t="n"/>
      <c r="H187" s="25" t="n"/>
      <c r="K187" s="61" t="inlineStr">
        <is>
          <t>[Ex 2.2] Q (arredondado)</t>
        </is>
      </c>
      <c r="L187" s="61">
        <f>IFERROR(ROUND('03 — Carga Poluidora'!$D$30,IF('03 — Carga Poluidora'!$D$30=0,0,4-INT(LOG10(ABS('03 — Carga Poluidora'!$D$30))))),"")</f>
        <v>5</v>
      </c>
    </row>
    <row r="188" ht="47" customHeight="1">
      <c r="B188" s="64" t="inlineStr">
        <is>
          <t>Resolução</t>
        </is>
      </c>
      <c r="C188" s="25" t="str">
        <f>"1) Carga de entrada: "&amp;$L$300&amp;" × "&amp;$L$296&amp;" × 0,001 = "&amp;$L$306&amp;" kg/dia."&amp;CHAR(10)&amp;"2) Carga de saída: "&amp;$L$302&amp;" × "&amp;$L$298&amp;" × 0,001 = "&amp;$L$308&amp;" kg/dia."&amp;CHAR(10)&amp;"3) Eficiência: ("&amp;$L$306&amp;" − "&amp;$L$308&amp;") ÷ "&amp;$L$306&amp;" × 100 = "&amp;$L$304&amp;"%."</f>
        <v>1) Carga de entrada: 500 × 200 × 0,001 = 100 kg/dia.
2) Carga de saída: 400 × 50 × 0,001 = 20 kg/dia.
3) Eficiência: (100 − 20) ÷ 100 × 100 = 80%.</v>
      </c>
      <c r="D188" s="25" t="n"/>
      <c r="E188" s="25" t="n"/>
      <c r="F188" s="25" t="n"/>
      <c r="G188" s="25" t="n"/>
      <c r="H188" s="25" t="n"/>
      <c r="K188" s="61" t="inlineStr">
        <is>
          <t>[Ex 2.2] Q (texto)</t>
        </is>
      </c>
      <c r="L188" s="61" t="str">
        <f>IF(ISNUMBER($L$187),FIXED($L$187,IF(ROUND($L$187,0)=$L$187,0,IF(ROUND($L$187,1)=$L$187,1,IF(ROUND($L$187,2)=$L$187,2,IF(ROUND($L$187,3)=$L$187,3,IF(ROUND($L$187,4)=$L$187,4,IF(ROUND($L$187,5)=$L$187,5,IF(ROUND($L$187,6)=$L$187,6,7)))))))),"?")</f>
        <v>5</v>
      </c>
    </row>
    <row r="189" ht="22.3" customHeight="1">
      <c r="B189" s="137" t="inlineStr">
        <is>
          <t>Resultado</t>
        </is>
      </c>
      <c r="C189" s="138" t="str">
        <f>"Carga de entrada = "&amp;$L$306&amp;" kg/dia   |   Carga de saída = "&amp;$L$308&amp;" kg/dia   |   Eficiência = "&amp;$L$304&amp;"%"</f>
        <v>Carga de entrada = 100 kg/dia   |   Carga de saída = 20 kg/dia   |   Eficiência = 80%</v>
      </c>
      <c r="D189" s="138" t="n"/>
      <c r="E189" s="138" t="n"/>
      <c r="F189" s="138" t="n"/>
      <c r="G189" s="138" t="n"/>
      <c r="H189" s="138" t="n"/>
      <c r="K189" s="61" t="inlineStr">
        <is>
          <t>[Ex 2.2] Qd (arredondado)</t>
        </is>
      </c>
      <c r="L189" s="61">
        <f>IFERROR(ROUND($L$180,IF($L$180=0,0,4-INT(LOG10(ABS($L$180))))),"")</f>
        <v>432</v>
      </c>
    </row>
    <row r="190" ht="34" customHeight="1">
      <c r="B190" s="64" t="inlineStr">
        <is>
          <t>Explicação simples</t>
        </is>
      </c>
      <c r="C190" s="25" t="str">
        <f>IF($L$292&gt;0,"Houve redução de "&amp;'04 — Eficiência de Tratamento'!$C$80&amp;": o sistema removeu "&amp;$L$304&amp;"% da carga de entrada.",IF($L$292=0,"Não houve redução: o valor de saída é igual ao de entrada.","Houve aumento de "&amp;'04 — Eficiência de Tratamento'!$C$80&amp;": a saída ficou "&amp;$L$312&amp;"% acima da entrada. Confira os dados e o funcionamento do sistema."))&amp;" Só pelas concentrações, a eficiência seria "&amp;$L$310&amp;"%."</f>
        <v>Houve redução de DBO: o sistema removeu 80% da carga de entrada. Só pelas concentrações, a eficiência seria 75%.</v>
      </c>
      <c r="D190" s="25" t="n"/>
      <c r="E190" s="25" t="n"/>
      <c r="F190" s="25" t="n"/>
      <c r="G190" s="25" t="n"/>
      <c r="H190" s="25" t="n"/>
      <c r="K190" s="61" t="inlineStr">
        <is>
          <t>[Ex 2.2] Qd (texto)</t>
        </is>
      </c>
      <c r="L190" s="61" t="str">
        <f>IF(ISNUMBER($L$189),FIXED($L$189,IF(ROUND($L$189,0)=$L$189,0,IF(ROUND($L$189,1)=$L$189,1,IF(ROUND($L$189,2)=$L$189,2,IF(ROUND($L$189,3)=$L$189,3,IF(ROUND($L$189,4)=$L$189,4,IF(ROUND($L$189,5)=$L$189,5,IF(ROUND($L$189,6)=$L$189,6,7)))))))),"?")</f>
        <v>432</v>
      </c>
    </row>
    <row r="191" ht="32" customHeight="1">
      <c r="B191" s="103" t="inlineStr">
        <is>
          <t>Teste na calculadora</t>
        </is>
      </c>
      <c r="C191" s="104" t="inlineStr">
        <is>
          <t>Na aba 04 — Eficiência de Tratamento, vá até a Ferramenta 2 e escolha Exemplo 01 na lista Cenário. Depois troque para Meu cálculo e teste outros valores.</t>
        </is>
      </c>
      <c r="D191" s="104" t="n"/>
      <c r="E191" s="104" t="n"/>
      <c r="F191" s="104" t="n"/>
      <c r="G191" s="104" t="n"/>
      <c r="H191" s="104" t="n"/>
      <c r="K191" s="61" t="inlineStr">
        <is>
          <t>[Ex 2.2] kg (arredondado)</t>
        </is>
      </c>
      <c r="L191" s="61">
        <f>IFERROR(ROUND($L$181,IF($L$181=0,0,4-INT(LOG10(ABS($L$181))))),"")</f>
        <v>108</v>
      </c>
    </row>
    <row r="192" ht="14" customHeight="1">
      <c r="K192" s="61" t="inlineStr">
        <is>
          <t>[Ex 2.2] kg (texto)</t>
        </is>
      </c>
      <c r="L192" s="61" t="str">
        <f>IF(ISNUMBER($L$191),FIXED($L$191,IF(ROUND($L$191,0)=$L$191,0,IF(ROUND($L$191,1)=$L$191,1,IF(ROUND($L$191,2)=$L$191,2,IF(ROUND($L$191,3)=$L$191,3,IF(ROUND($L$191,4)=$L$191,4,IF(ROUND($L$191,5)=$L$191,5,IF(ROUND($L$191,6)=$L$191,6,7)))))))),"?")</f>
        <v>108</v>
      </c>
    </row>
    <row r="193" ht="26" customHeight="1">
      <c r="B193" s="144" t="inlineStr">
        <is>
          <t>EXEMPLO 3.4   ·   Decantador avaliado por carga</t>
        </is>
      </c>
      <c r="C193" s="144" t="n"/>
      <c r="D193" s="144" t="n"/>
      <c r="E193" s="144" t="n"/>
      <c r="F193" s="144" t="n"/>
      <c r="G193" s="135" t="inlineStr">
        <is>
          <t>▶ Abrir na calculadora</t>
        </is>
      </c>
      <c r="H193" s="135" t="n"/>
      <c r="K193" s="61" t="inlineStr">
        <is>
          <t>[Ex 2.2] g (arredondado)</t>
        </is>
      </c>
      <c r="L193" s="61">
        <f>IFERROR(ROUND($L$182,IF($L$182=0,0,4-INT(LOG10(ABS($L$182))))),"")</f>
        <v>108000</v>
      </c>
    </row>
    <row r="194" ht="19" customHeight="1">
      <c r="B194" s="64" t="inlineStr">
        <is>
          <t>Situação prática</t>
        </is>
      </c>
      <c r="C194" s="25" t="inlineStr">
        <is>
          <t>Um decantador recebe 1.000 m³/dia com 300 mg/L de SST. O clarificado sai com 950 m³/dia e 30 mg/L.</t>
        </is>
      </c>
      <c r="D194" s="25" t="n"/>
      <c r="E194" s="25" t="n"/>
      <c r="F194" s="25" t="n"/>
      <c r="G194" s="25" t="n"/>
      <c r="H194" s="25" t="n"/>
      <c r="K194" s="61" t="inlineStr">
        <is>
          <t>[Ex 2.2] g (texto)</t>
        </is>
      </c>
      <c r="L194" s="61" t="str">
        <f>IF(ISNUMBER($L$193),FIXED($L$193,IF(ROUND($L$193,0)=$L$193,0,IF(ROUND($L$193,1)=$L$193,1,IF(ROUND($L$193,2)=$L$193,2,IF(ROUND($L$193,3)=$L$193,3,IF(ROUND($L$193,4)=$L$193,4,IF(ROUND($L$193,5)=$L$193,5,IF(ROUND($L$193,6)=$L$193,6,7)))))))),"?")</f>
        <v>108.000</v>
      </c>
    </row>
    <row r="195" ht="21" customHeight="1">
      <c r="B195" s="64" t="inlineStr">
        <is>
          <t>Dados utilizados</t>
        </is>
      </c>
      <c r="C195" s="25" t="str">
        <f>"Parâmetro: "&amp;'04 — Eficiência de Tratamento'!$D$80&amp;"   |   "&amp;"Qe = "&amp;$L$324&amp;" "&amp;"m³/dia"&amp;"   |   "&amp;"Ce = "&amp;$L$320&amp;" "&amp;"mg/L"&amp;"   |   "&amp;"Qs = "&amp;$L$326&amp;" "&amp;"m³/dia"&amp;"   |   "&amp;"Cs = "&amp;$L$322&amp;" "&amp;"mg/L"</f>
        <v>Parâmetro: SST   |   Qe = 1.000 m³/dia   |   Ce = 300 mg/L   |   Qs = 950 m³/dia   |   Cs = 30 mg/L</v>
      </c>
      <c r="D195" s="25" t="n"/>
      <c r="E195" s="25" t="n"/>
      <c r="F195" s="25" t="n"/>
      <c r="G195" s="25" t="n"/>
      <c r="H195" s="25" t="n"/>
      <c r="K195" s="61" t="inlineStr">
        <is>
          <t>[Ex 2.2] hab (arredondado)</t>
        </is>
      </c>
      <c r="L195" s="61">
        <f>IFERROR(ROUND($L$184,IF($L$184=0,0,4-INT(LOG10(ABS($L$184))))),"")</f>
        <v>2000</v>
      </c>
    </row>
    <row r="196" ht="34.6" customHeight="1">
      <c r="B196" s="64" t="inlineStr">
        <is>
          <t>Fórmula</t>
        </is>
      </c>
      <c r="C196" s="136" t="inlineStr">
        <is>
          <t>Carga = Q × C × 0,001     |     Eficiência (%) = (Carga entrada − Carga saída) ÷ Carga entrada × 100</t>
        </is>
      </c>
      <c r="D196" s="136" t="n"/>
      <c r="E196" s="136" t="n"/>
      <c r="F196" s="136" t="n"/>
      <c r="G196" s="136" t="n"/>
      <c r="H196" s="136" t="n"/>
      <c r="K196" s="61" t="inlineStr">
        <is>
          <t>[Ex 2.2] hab (texto)</t>
        </is>
      </c>
      <c r="L196" s="61" t="str">
        <f>IF(ISNUMBER($L$195),FIXED($L$195,IF(ROUND($L$195,0)=$L$195,0,IF(ROUND($L$195,1)=$L$195,1,IF(ROUND($L$195,2)=$L$195,2,IF(ROUND($L$195,3)=$L$195,3,IF(ROUND($L$195,4)=$L$195,4,IF(ROUND($L$195,5)=$L$195,5,IF(ROUND($L$195,6)=$L$195,6,7)))))))),"?")</f>
        <v>2.000</v>
      </c>
    </row>
    <row r="197" ht="47" customHeight="1">
      <c r="B197" s="64" t="inlineStr">
        <is>
          <t>Substituição</t>
        </is>
      </c>
      <c r="C197" s="25" t="str">
        <f>"Carga entrada = "&amp;$L$324&amp;" × "&amp;$L$320&amp;" × 0,001 = "&amp;$L$330&amp;" kg/dia"&amp;CHAR(10)&amp;"Carga saída = "&amp;$L$326&amp;" × "&amp;$L$322&amp;" × 0,001 = "&amp;$L$332&amp;" kg/dia"&amp;CHAR(10)&amp;"E = ("&amp;$L$330&amp;" − "&amp;$L$332&amp;") ÷ "&amp;$L$330&amp;" × 100 = "&amp;$L$328&amp;"%"</f>
        <v>Carga entrada = 1.000 × 300 × 0,001 = 300 kg/dia
Carga saída = 950 × 30 × 0,001 = 28,5 kg/dia
E = (300 − 28,5) ÷ 300 × 100 = 90,5%</v>
      </c>
      <c r="D197" s="25" t="n"/>
      <c r="E197" s="25" t="n"/>
      <c r="F197" s="25" t="n"/>
      <c r="G197" s="25" t="n"/>
      <c r="H197" s="25" t="n"/>
      <c r="K197" s="61" t="inlineStr">
        <is>
          <t>[Ex 2.3] fQ</t>
        </is>
      </c>
      <c r="L197" s="61">
        <f>IFERROR(CHOOSE(MATCH('03 — Carga Poluidora'!$C$68,{"m³/dia","m³/h","L/s"},0),1,24,86.4),"")</f>
        <v>1</v>
      </c>
    </row>
    <row r="198" ht="47" customHeight="1">
      <c r="B198" s="64" t="inlineStr">
        <is>
          <t>Resolução</t>
        </is>
      </c>
      <c r="C198" s="25" t="str">
        <f>"1) Carga de entrada: "&amp;$L$324&amp;" × "&amp;$L$320&amp;" × 0,001 = "&amp;$L$330&amp;" kg/dia."&amp;CHAR(10)&amp;"2) Carga de saída: "&amp;$L$326&amp;" × "&amp;$L$322&amp;" × 0,001 = "&amp;$L$332&amp;" kg/dia."&amp;CHAR(10)&amp;"3) Eficiência: ("&amp;$L$330&amp;" − "&amp;$L$332&amp;") ÷ "&amp;$L$330&amp;" × 100 = "&amp;$L$328&amp;"%."</f>
        <v>1) Carga de entrada: 1.000 × 300 × 0,001 = 300 kg/dia.
2) Carga de saída: 950 × 30 × 0,001 = 28,5 kg/dia.
3) Eficiência: (300 − 28,5) ÷ 300 × 100 = 90,5%.</v>
      </c>
      <c r="D198" s="25" t="n"/>
      <c r="E198" s="25" t="n"/>
      <c r="F198" s="25" t="n"/>
      <c r="G198" s="25" t="n"/>
      <c r="H198" s="25" t="n"/>
      <c r="K198" s="61" t="inlineStr">
        <is>
          <t>[Ex 2.3] Qd</t>
        </is>
      </c>
      <c r="L198" s="61">
        <f>IFERROR('03 — Carga Poluidora'!$C$67*$L$197,"")</f>
        <v>400</v>
      </c>
    </row>
    <row r="199" ht="22.3" customHeight="1">
      <c r="B199" s="137" t="inlineStr">
        <is>
          <t>Resultado</t>
        </is>
      </c>
      <c r="C199" s="138" t="str">
        <f>"Carga de entrada = "&amp;$L$330&amp;" kg/dia   |   Carga de saída = "&amp;$L$332&amp;" kg/dia   |   Eficiência = "&amp;$L$328&amp;"%"</f>
        <v>Carga de entrada = 300 kg/dia   |   Carga de saída = 28,5 kg/dia   |   Eficiência = 90,5%</v>
      </c>
      <c r="D199" s="138" t="n"/>
      <c r="E199" s="138" t="n"/>
      <c r="F199" s="138" t="n"/>
      <c r="G199" s="138" t="n"/>
      <c r="H199" s="138" t="n"/>
      <c r="K199" s="61" t="inlineStr">
        <is>
          <t>[Ex 2.3] Lg</t>
        </is>
      </c>
      <c r="L199" s="61">
        <f>IFERROR('03 — Carga Poluidora'!$C$66*1000,"")</f>
        <v>24000</v>
      </c>
    </row>
    <row r="200" ht="34" customHeight="1">
      <c r="B200" s="64" t="inlineStr">
        <is>
          <t>Explicação simples</t>
        </is>
      </c>
      <c r="C200" s="25" t="str">
        <f>IF($L$316&gt;0,"Houve redução de "&amp;'04 — Eficiência de Tratamento'!$D$80&amp;": o sistema removeu "&amp;$L$328&amp;"% da carga de entrada.",IF($L$316=0,"Não houve redução: o valor de saída é igual ao de entrada.","Houve aumento de "&amp;'04 — Eficiência de Tratamento'!$D$80&amp;": a saída ficou "&amp;$L$336&amp;"% acima da entrada. Confira os dados e o funcionamento do sistema."))&amp;" Só pelas concentrações, a eficiência seria "&amp;$L$334&amp;"%."</f>
        <v>Houve redução de SST: o sistema removeu 90,5% da carga de entrada. Só pelas concentrações, a eficiência seria 90%.</v>
      </c>
      <c r="D200" s="25" t="n"/>
      <c r="E200" s="25" t="n"/>
      <c r="F200" s="25" t="n"/>
      <c r="G200" s="25" t="n"/>
      <c r="H200" s="25" t="n"/>
      <c r="K200" s="61" t="inlineStr">
        <is>
          <t>[Ex 2.3] C</t>
        </is>
      </c>
      <c r="L200" s="61">
        <f>IFERROR($L$199/$L$198,"")</f>
        <v>60</v>
      </c>
    </row>
    <row r="201" ht="32" customHeight="1">
      <c r="B201" s="103" t="inlineStr">
        <is>
          <t>Teste na calculadora</t>
        </is>
      </c>
      <c r="C201" s="104" t="inlineStr">
        <is>
          <t>Na aba 04 — Eficiência de Tratamento, vá até a Ferramenta 2 e escolha Exemplo 02 na lista Cenário. Depois troque para Meu cálculo e teste outros valores.</t>
        </is>
      </c>
      <c r="D201" s="104" t="n"/>
      <c r="E201" s="104" t="n"/>
      <c r="F201" s="104" t="n"/>
      <c r="G201" s="104" t="n"/>
      <c r="H201" s="104" t="n"/>
      <c r="K201" s="61" t="inlineStr">
        <is>
          <t>[Ex 2.3] kgm3</t>
        </is>
      </c>
      <c r="L201" s="61">
        <f>IFERROR($L$200/1000,"")</f>
        <v>0.06</v>
      </c>
    </row>
    <row r="202" ht="14" customHeight="1">
      <c r="K202" s="61" t="inlineStr">
        <is>
          <t>[Ex 2.3] L (arredondado)</t>
        </is>
      </c>
      <c r="L202" s="61">
        <f>IFERROR(ROUND('03 — Carga Poluidora'!$C$66,IF('03 — Carga Poluidora'!$C$66=0,0,4-INT(LOG10(ABS('03 — Carga Poluidora'!$C$66))))),"")</f>
        <v>24</v>
      </c>
    </row>
    <row r="203">
      <c r="K203" s="61" t="inlineStr">
        <is>
          <t>[Ex 2.3] L (texto)</t>
        </is>
      </c>
      <c r="L203" s="61" t="str">
        <f>IF(ISNUMBER($L$202),FIXED($L$202,IF(ROUND($L$202,0)=$L$202,0,IF(ROUND($L$202,1)=$L$202,1,IF(ROUND($L$202,2)=$L$202,2,IF(ROUND($L$202,3)=$L$202,3,IF(ROUND($L$202,4)=$L$202,4,IF(ROUND($L$202,5)=$L$202,5,IF(ROUND($L$202,6)=$L$202,6,7)))))))),"?")</f>
        <v>24</v>
      </c>
    </row>
    <row r="204" ht="32" customHeight="1">
      <c r="B204" s="145" t="inlineStr">
        <is>
          <t>⚖️  CALCULADORA 04 · BALANÇO DE MASSA</t>
        </is>
      </c>
      <c r="C204" s="145" t="n"/>
      <c r="D204" s="145" t="n"/>
      <c r="E204" s="145" t="n"/>
      <c r="F204" s="145" t="n"/>
      <c r="G204" s="145" t="n"/>
      <c r="H204" s="146" t="inlineStr">
        <is>
          <t>▲ Voltar ao índice</t>
        </is>
      </c>
      <c r="K204" s="61" t="inlineStr">
        <is>
          <t>[Ex 2.3] Q (arredondado)</t>
        </is>
      </c>
      <c r="L204" s="61">
        <f>IFERROR(ROUND('03 — Carga Poluidora'!$C$67,IF('03 — Carga Poluidora'!$C$67=0,0,4-INT(LOG10(ABS('03 — Carga Poluidora'!$C$67))))),"")</f>
        <v>400</v>
      </c>
    </row>
    <row r="205" ht="8" customHeight="1">
      <c r="K205" s="61" t="inlineStr">
        <is>
          <t>[Ex 2.3] Q (texto)</t>
        </is>
      </c>
      <c r="L205" s="61" t="str">
        <f>IF(ISNUMBER($L$204),FIXED($L$204,IF(ROUND($L$204,0)=$L$204,0,IF(ROUND($L$204,1)=$L$204,1,IF(ROUND($L$204,2)=$L$204,2,IF(ROUND($L$204,3)=$L$204,3,IF(ROUND($L$204,4)=$L$204,4,IF(ROUND($L$204,5)=$L$204,5,IF(ROUND($L$204,6)=$L$204,6,7)))))))),"?")</f>
        <v>400</v>
      </c>
    </row>
    <row r="206" ht="26" customHeight="1">
      <c r="B206" s="147" t="inlineStr">
        <is>
          <t>EXEMPLO 4.1   ·   Junção de duas linhas de efluente</t>
        </is>
      </c>
      <c r="C206" s="147" t="n"/>
      <c r="D206" s="147" t="n"/>
      <c r="E206" s="147" t="n"/>
      <c r="F206" s="147" t="n"/>
      <c r="G206" s="135" t="inlineStr">
        <is>
          <t>▶ Abrir na calculadora</t>
        </is>
      </c>
      <c r="H206" s="135" t="n"/>
      <c r="K206" s="61" t="inlineStr">
        <is>
          <t>[Ex 2.3] C (arredondado)</t>
        </is>
      </c>
      <c r="L206" s="61">
        <f>IFERROR(ROUND($L$200,IF($L$200=0,0,4-INT(LOG10(ABS($L$200))))),"")</f>
        <v>60</v>
      </c>
    </row>
    <row r="207" ht="32" customHeight="1">
      <c r="B207" s="64" t="inlineStr">
        <is>
          <t>Situação prática</t>
        </is>
      </c>
      <c r="C207" s="25" t="inlineStr">
        <is>
          <t>Duas linhas de efluente se juntam antes do tratamento: 120 m³/dia com 200 mg/L de DBO e 80 m³/dia com 50 mg/L.</t>
        </is>
      </c>
      <c r="D207" s="25" t="n"/>
      <c r="E207" s="25" t="n"/>
      <c r="F207" s="25" t="n"/>
      <c r="G207" s="25" t="n"/>
      <c r="H207" s="25" t="n"/>
      <c r="K207" s="61" t="inlineStr">
        <is>
          <t>[Ex 2.3] C (texto)</t>
        </is>
      </c>
      <c r="L207" s="61" t="str">
        <f>IF(ISNUMBER($L$206),FIXED($L$206,IF(ROUND($L$206,0)=$L$206,0,IF(ROUND($L$206,1)=$L$206,1,IF(ROUND($L$206,2)=$L$206,2,IF(ROUND($L$206,3)=$L$206,3,IF(ROUND($L$206,4)=$L$206,4,IF(ROUND($L$206,5)=$L$206,5,IF(ROUND($L$206,6)=$L$206,6,7)))))))),"?")</f>
        <v>60</v>
      </c>
    </row>
    <row r="208" ht="21" customHeight="1">
      <c r="B208" s="64" t="inlineStr">
        <is>
          <t>Dados utilizados</t>
        </is>
      </c>
      <c r="C208" s="25" t="str">
        <f>"Q₁ = "&amp;$L$350&amp;" "&amp;"m³/dia"&amp;"   |   "&amp;"C₁ = "&amp;$L$346&amp;" "&amp;"mg/L"&amp;"   |   "&amp;"Q₂ = "&amp;$L$352&amp;" "&amp;"m³/dia"&amp;"   |   "&amp;"C₂ = "&amp;$L$348&amp;" "&amp;"mg/L"</f>
        <v>Q₁ = 120 m³/dia   |   C₁ = 200 mg/L   |   Q₂ = 80 m³/dia   |   C₂ = 50 mg/L</v>
      </c>
      <c r="D208" s="25" t="n"/>
      <c r="E208" s="25" t="n"/>
      <c r="F208" s="25" t="n"/>
      <c r="G208" s="25" t="n"/>
      <c r="H208" s="25" t="n"/>
      <c r="K208" s="61" t="inlineStr">
        <is>
          <t>[Ex 2.3] Qd (arredondado)</t>
        </is>
      </c>
      <c r="L208" s="61">
        <f>IFERROR(ROUND($L$198,IF($L$198=0,0,4-INT(LOG10(ABS($L$198))))),"")</f>
        <v>400</v>
      </c>
    </row>
    <row r="209" ht="24" customHeight="1">
      <c r="B209" s="64" t="inlineStr">
        <is>
          <t>Fórmula</t>
        </is>
      </c>
      <c r="C209" s="136" t="inlineStr">
        <is>
          <t>Cfinal = (Q₁ × C₁ + Q₂ × C₂) ÷ (Q₁ + Q₂)</t>
        </is>
      </c>
      <c r="D209" s="136" t="n"/>
      <c r="E209" s="136" t="n"/>
      <c r="F209" s="136" t="n"/>
      <c r="G209" s="136" t="n"/>
      <c r="H209" s="136" t="n"/>
      <c r="K209" s="61" t="inlineStr">
        <is>
          <t>[Ex 2.3] Qd (texto)</t>
        </is>
      </c>
      <c r="L209" s="61" t="str">
        <f>IF(ISNUMBER($L$208),FIXED($L$208,IF(ROUND($L$208,0)=$L$208,0,IF(ROUND($L$208,1)=$L$208,1,IF(ROUND($L$208,2)=$L$208,2,IF(ROUND($L$208,3)=$L$208,3,IF(ROUND($L$208,4)=$L$208,4,IF(ROUND($L$208,5)=$L$208,5,IF(ROUND($L$208,6)=$L$208,6,7)))))))),"?")</f>
        <v>400</v>
      </c>
    </row>
    <row r="210" ht="21" customHeight="1">
      <c r="B210" s="64" t="inlineStr">
        <is>
          <t>Substituição</t>
        </is>
      </c>
      <c r="C210" s="25" t="str">
        <f>"Cfinal = ("&amp;$L$350&amp;" × "&amp;$L$346&amp;" + "&amp;$L$352&amp;" × "&amp;$L$348&amp;") ÷ ("&amp;$L$350&amp;" + "&amp;$L$352&amp;") = "&amp;$L$356&amp;" ÷ "&amp;$L$358&amp;" = "&amp;$L$354&amp;" mg/L"</f>
        <v>Cfinal = (120 × 200 + 80 × 50) ÷ (120 + 80) = 28.000 ÷ 200 = 140 mg/L</v>
      </c>
      <c r="D210" s="25" t="n"/>
      <c r="E210" s="25" t="n"/>
      <c r="F210" s="25" t="n"/>
      <c r="G210" s="25" t="n"/>
      <c r="H210" s="25" t="n"/>
      <c r="K210" s="61" t="inlineStr">
        <is>
          <t>[Ex 2.3] Lg (arredondado)</t>
        </is>
      </c>
      <c r="L210" s="61">
        <f>IFERROR(ROUND($L$199,IF($L$199=0,0,4-INT(LOG10(ABS($L$199))))),"")</f>
        <v>24000</v>
      </c>
    </row>
    <row r="211" ht="47" customHeight="1">
      <c r="B211" s="64" t="inlineStr">
        <is>
          <t>Resolução</t>
        </is>
      </c>
      <c r="C211" s="25" t="str">
        <f>"1) Vazão total: "&amp;$L$350&amp;" + "&amp;$L$352&amp;" = "&amp;$L$358&amp;" m³/dia."&amp;CHAR(10)&amp;"2) Soma de Q × C: "&amp;$L$350&amp;" × "&amp;$L$346&amp;" + "&amp;$L$352&amp;" × "&amp;$L$348&amp;" = "&amp;$L$356&amp;"."&amp;CHAR(10)&amp;"3) Cfinal = "&amp;$L$356&amp;" ÷ "&amp;$L$358&amp;" = "&amp;$L$354&amp;" mg/L."</f>
        <v>1) Vazão total: 120 + 80 = 200 m³/dia.
2) Soma de Q × C: 120 × 200 + 80 × 50 = 28.000.
3) Cfinal = 28.000 ÷ 200 = 140 mg/L.</v>
      </c>
      <c r="D211" s="25" t="n"/>
      <c r="E211" s="25" t="n"/>
      <c r="F211" s="25" t="n"/>
      <c r="G211" s="25" t="n"/>
      <c r="H211" s="25" t="n"/>
      <c r="K211" s="61" t="inlineStr">
        <is>
          <t>[Ex 2.3] Lg (texto)</t>
        </is>
      </c>
      <c r="L211" s="61" t="str">
        <f>IF(ISNUMBER($L$210),FIXED($L$210,IF(ROUND($L$210,0)=$L$210,0,IF(ROUND($L$210,1)=$L$210,1,IF(ROUND($L$210,2)=$L$210,2,IF(ROUND($L$210,3)=$L$210,3,IF(ROUND($L$210,4)=$L$210,4,IF(ROUND($L$210,5)=$L$210,5,IF(ROUND($L$210,6)=$L$210,6,7)))))))),"?")</f>
        <v>24.000</v>
      </c>
    </row>
    <row r="212" ht="22.3" customHeight="1">
      <c r="B212" s="137" t="inlineStr">
        <is>
          <t>Resultado</t>
        </is>
      </c>
      <c r="C212" s="138" t="str">
        <f>"Vazão total = "&amp;$L$358&amp;" m³/dia   |   Cfinal = "&amp;$L$354&amp;" mg/L"</f>
        <v>Vazão total = 200 m³/dia   |   Cfinal = 140 mg/L</v>
      </c>
      <c r="D212" s="138" t="n"/>
      <c r="E212" s="138" t="n"/>
      <c r="F212" s="138" t="n"/>
      <c r="G212" s="138" t="n"/>
      <c r="H212" s="138" t="n"/>
      <c r="K212" s="61" t="inlineStr">
        <is>
          <t>[Ex 2.4] fQ</t>
        </is>
      </c>
      <c r="L212" s="61">
        <f>IFERROR(CHOOSE(MATCH('03 — Carga Poluidora'!$D$68,{"m³/dia","m³/h","L/s"},0),1,24,86.4),"")</f>
        <v>24</v>
      </c>
    </row>
    <row r="213" ht="47" customHeight="1">
      <c r="B213" s="64" t="inlineStr">
        <is>
          <t>Explicação simples</t>
        </is>
      </c>
      <c r="C213" s="25" t="str">
        <f>IF('05 — Balanço de Massa'!$C$30='05 — Balanço de Massa'!$C$32,"As duas correntes têm a mesma concentração, então a mistura também fica com "&amp;$L$354&amp;" mg/L.","A mistura fica com "&amp;$L$354&amp;" mg/L. O valor está entre "&amp;$L$362&amp;" e "&amp;$L$360&amp;" mg/L e fica mais perto da corrente de maior vazão, porque a média é ponderada pelas vazões.")&amp;" A carga total ("&amp;$L$364&amp;" kg/dia) é a soma das cargas das duas correntes."</f>
        <v>A mistura fica com 140 mg/L. O valor está entre 50 e 200 mg/L e fica mais perto da corrente de maior vazão, porque a média é ponderada pelas vazões. A carga total (28 kg/dia) é a soma das cargas das duas correntes.</v>
      </c>
      <c r="D213" s="25" t="n"/>
      <c r="E213" s="25" t="n"/>
      <c r="F213" s="25" t="n"/>
      <c r="G213" s="25" t="n"/>
      <c r="H213" s="25" t="n"/>
      <c r="K213" s="61" t="inlineStr">
        <is>
          <t>[Ex 2.4] Qd</t>
        </is>
      </c>
      <c r="L213" s="61">
        <f>IFERROR('03 — Carga Poluidora'!$D$67*$L$212,"")</f>
        <v>1200</v>
      </c>
    </row>
    <row r="214" ht="32" customHeight="1">
      <c r="B214" s="103" t="inlineStr">
        <is>
          <t>Teste na calculadora</t>
        </is>
      </c>
      <c r="C214" s="104" t="inlineStr">
        <is>
          <t>Na aba 05 — Balanço de Massa, vá até a Ferramenta 1 e escolha Exemplo 01 na lista Cenário. Depois troque para Meu cálculo e teste outros valores.</t>
        </is>
      </c>
      <c r="D214" s="104" t="n"/>
      <c r="E214" s="104" t="n"/>
      <c r="F214" s="104" t="n"/>
      <c r="G214" s="104" t="n"/>
      <c r="H214" s="104" t="n"/>
      <c r="K214" s="61" t="inlineStr">
        <is>
          <t>[Ex 2.4] Lg</t>
        </is>
      </c>
      <c r="L214" s="61">
        <f>IFERROR('03 — Carga Poluidora'!$D$66*1000,"")</f>
        <v>150000</v>
      </c>
    </row>
    <row r="215" ht="14" customHeight="1">
      <c r="K215" s="61" t="inlineStr">
        <is>
          <t>[Ex 2.4] C</t>
        </is>
      </c>
      <c r="L215" s="61">
        <f>IFERROR($L$214/$L$213,"")</f>
        <v>125</v>
      </c>
    </row>
    <row r="216" ht="26" customHeight="1">
      <c r="B216" s="147" t="inlineStr">
        <is>
          <t>EXEMPLO 4.2   ·   Lançamento de efluente em um rio</t>
        </is>
      </c>
      <c r="C216" s="147" t="n"/>
      <c r="D216" s="147" t="n"/>
      <c r="E216" s="147" t="n"/>
      <c r="F216" s="147" t="n"/>
      <c r="G216" s="135" t="inlineStr">
        <is>
          <t>▶ Abrir na calculadora</t>
        </is>
      </c>
      <c r="H216" s="135" t="n"/>
      <c r="K216" s="61" t="inlineStr">
        <is>
          <t>[Ex 2.4] kgm3</t>
        </is>
      </c>
      <c r="L216" s="61">
        <f>IFERROR($L$215/1000,"")</f>
        <v>0.125</v>
      </c>
    </row>
    <row r="217" ht="32" customHeight="1">
      <c r="B217" s="64" t="inlineStr">
        <is>
          <t>Situação prática</t>
        </is>
      </c>
      <c r="C217" s="25" t="inlineStr">
        <is>
          <t>Um efluente tratado (432 m³/dia, DBO de 60 mg/L) é lançado em um rio com vazão de 8.640 m³/dia e DBO de 2 mg/L. Qual é a DBO logo após a mistura?</t>
        </is>
      </c>
      <c r="D217" s="25" t="n"/>
      <c r="E217" s="25" t="n"/>
      <c r="F217" s="25" t="n"/>
      <c r="G217" s="25" t="n"/>
      <c r="H217" s="25" t="n"/>
      <c r="K217" s="61" t="inlineStr">
        <is>
          <t>[Ex 2.4] L (arredondado)</t>
        </is>
      </c>
      <c r="L217" s="61">
        <f>IFERROR(ROUND('03 — Carga Poluidora'!$D$66,IF('03 — Carga Poluidora'!$D$66=0,0,4-INT(LOG10(ABS('03 — Carga Poluidora'!$D$66))))),"")</f>
        <v>150</v>
      </c>
    </row>
    <row r="218" ht="21" customHeight="1">
      <c r="B218" s="64" t="inlineStr">
        <is>
          <t>Dados utilizados</t>
        </is>
      </c>
      <c r="C218" s="25" t="str">
        <f>"Q₁ = "&amp;$L$378&amp;" "&amp;"m³/dia"&amp;"   |   "&amp;"C₁ = "&amp;$L$374&amp;" "&amp;"mg/L"&amp;"   |   "&amp;"Q₂ = "&amp;$L$380&amp;" "&amp;"m³/dia"&amp;"   |   "&amp;"C₂ = "&amp;$L$376&amp;" "&amp;"mg/L"</f>
        <v>Q₁ = 432 m³/dia   |   C₁ = 60 mg/L   |   Q₂ = 8.640 m³/dia   |   C₂ = 2 mg/L</v>
      </c>
      <c r="D218" s="25" t="n"/>
      <c r="E218" s="25" t="n"/>
      <c r="F218" s="25" t="n"/>
      <c r="G218" s="25" t="n"/>
      <c r="H218" s="25" t="n"/>
      <c r="K218" s="61" t="inlineStr">
        <is>
          <t>[Ex 2.4] L (texto)</t>
        </is>
      </c>
      <c r="L218" s="61" t="str">
        <f>IF(ISNUMBER($L$217),FIXED($L$217,IF(ROUND($L$217,0)=$L$217,0,IF(ROUND($L$217,1)=$L$217,1,IF(ROUND($L$217,2)=$L$217,2,IF(ROUND($L$217,3)=$L$217,3,IF(ROUND($L$217,4)=$L$217,4,IF(ROUND($L$217,5)=$L$217,5,IF(ROUND($L$217,6)=$L$217,6,7)))))))),"?")</f>
        <v>150</v>
      </c>
    </row>
    <row r="219" ht="24" customHeight="1">
      <c r="B219" s="64" t="inlineStr">
        <is>
          <t>Fórmula</t>
        </is>
      </c>
      <c r="C219" s="136" t="inlineStr">
        <is>
          <t>Cfinal = (Q₁ × C₁ + Q₂ × C₂) ÷ (Q₁ + Q₂)</t>
        </is>
      </c>
      <c r="D219" s="136" t="n"/>
      <c r="E219" s="136" t="n"/>
      <c r="F219" s="136" t="n"/>
      <c r="G219" s="136" t="n"/>
      <c r="H219" s="136" t="n"/>
      <c r="K219" s="61" t="inlineStr">
        <is>
          <t>[Ex 2.4] Q (arredondado)</t>
        </is>
      </c>
      <c r="L219" s="61">
        <f>IFERROR(ROUND('03 — Carga Poluidora'!$D$67,IF('03 — Carga Poluidora'!$D$67=0,0,4-INT(LOG10(ABS('03 — Carga Poluidora'!$D$67))))),"")</f>
        <v>50</v>
      </c>
    </row>
    <row r="220" ht="21" customHeight="1">
      <c r="B220" s="64" t="inlineStr">
        <is>
          <t>Substituição</t>
        </is>
      </c>
      <c r="C220" s="25" t="str">
        <f>"Cfinal = ("&amp;$L$378&amp;" × "&amp;$L$374&amp;" + "&amp;$L$380&amp;" × "&amp;$L$376&amp;") ÷ ("&amp;$L$378&amp;" + "&amp;$L$380&amp;") = "&amp;$L$384&amp;" ÷ "&amp;$L$386&amp;" = "&amp;$L$382&amp;" mg/L"</f>
        <v>Cfinal = (432 × 60 + 8.640 × 2) ÷ (432 + 8.640) = 43.200 ÷ 9.072 = 4,7619 mg/L</v>
      </c>
      <c r="D220" s="25" t="n"/>
      <c r="E220" s="25" t="n"/>
      <c r="F220" s="25" t="n"/>
      <c r="G220" s="25" t="n"/>
      <c r="H220" s="25" t="n"/>
      <c r="K220" s="61" t="inlineStr">
        <is>
          <t>[Ex 2.4] Q (texto)</t>
        </is>
      </c>
      <c r="L220" s="61" t="str">
        <f>IF(ISNUMBER($L$219),FIXED($L$219,IF(ROUND($L$219,0)=$L$219,0,IF(ROUND($L$219,1)=$L$219,1,IF(ROUND($L$219,2)=$L$219,2,IF(ROUND($L$219,3)=$L$219,3,IF(ROUND($L$219,4)=$L$219,4,IF(ROUND($L$219,5)=$L$219,5,IF(ROUND($L$219,6)=$L$219,6,7)))))))),"?")</f>
        <v>50</v>
      </c>
    </row>
    <row r="221" ht="47" customHeight="1">
      <c r="B221" s="64" t="inlineStr">
        <is>
          <t>Resolução</t>
        </is>
      </c>
      <c r="C221" s="25" t="str">
        <f>"1) Vazão total: "&amp;$L$378&amp;" + "&amp;$L$380&amp;" = "&amp;$L$386&amp;" m³/dia."&amp;CHAR(10)&amp;"2) Soma de Q × C: "&amp;$L$378&amp;" × "&amp;$L$374&amp;" + "&amp;$L$380&amp;" × "&amp;$L$376&amp;" = "&amp;$L$384&amp;"."&amp;CHAR(10)&amp;"3) Cfinal = "&amp;$L$384&amp;" ÷ "&amp;$L$386&amp;" = "&amp;$L$382&amp;" mg/L."</f>
        <v>1) Vazão total: 432 + 8.640 = 9.072 m³/dia.
2) Soma de Q × C: 432 × 60 + 8.640 × 2 = 43.200.
3) Cfinal = 43.200 ÷ 9.072 = 4,7619 mg/L.</v>
      </c>
      <c r="D221" s="25" t="n"/>
      <c r="E221" s="25" t="n"/>
      <c r="F221" s="25" t="n"/>
      <c r="G221" s="25" t="n"/>
      <c r="H221" s="25" t="n"/>
      <c r="K221" s="61" t="inlineStr">
        <is>
          <t>[Ex 2.4] C (arredondado)</t>
        </is>
      </c>
      <c r="L221" s="61">
        <f>IFERROR(ROUND($L$215,IF($L$215=0,0,4-INT(LOG10(ABS($L$215))))),"")</f>
        <v>125</v>
      </c>
    </row>
    <row r="222" ht="22.3" customHeight="1">
      <c r="B222" s="137" t="inlineStr">
        <is>
          <t>Resultado</t>
        </is>
      </c>
      <c r="C222" s="138" t="str">
        <f>"Vazão total = "&amp;$L$386&amp;" m³/dia   |   Cfinal = "&amp;$L$382&amp;" mg/L"</f>
        <v>Vazão total = 9.072 m³/dia   |   Cfinal = 4,7619 mg/L</v>
      </c>
      <c r="D222" s="138" t="n"/>
      <c r="E222" s="138" t="n"/>
      <c r="F222" s="138" t="n"/>
      <c r="G222" s="138" t="n"/>
      <c r="H222" s="138" t="n"/>
      <c r="K222" s="61" t="inlineStr">
        <is>
          <t>[Ex 2.4] C (texto)</t>
        </is>
      </c>
      <c r="L222" s="61" t="str">
        <f>IF(ISNUMBER($L$221),FIXED($L$221,IF(ROUND($L$221,0)=$L$221,0,IF(ROUND($L$221,1)=$L$221,1,IF(ROUND($L$221,2)=$L$221,2,IF(ROUND($L$221,3)=$L$221,3,IF(ROUND($L$221,4)=$L$221,4,IF(ROUND($L$221,5)=$L$221,5,IF(ROUND($L$221,6)=$L$221,6,7)))))))),"?")</f>
        <v>125</v>
      </c>
    </row>
    <row r="223" ht="47" customHeight="1">
      <c r="B223" s="64" t="inlineStr">
        <is>
          <t>Explicação simples</t>
        </is>
      </c>
      <c r="C223" s="25" t="str">
        <f>IF('05 — Balanço de Massa'!$D$30='05 — Balanço de Massa'!$D$32,"As duas correntes têm a mesma concentração, então a mistura também fica com "&amp;$L$382&amp;" mg/L.","A mistura fica com "&amp;$L$382&amp;" mg/L. O valor está entre "&amp;$L$390&amp;" e "&amp;$L$388&amp;" mg/L e fica mais perto da corrente de maior vazão, porque a média é ponderada pelas vazões.")&amp;" A carga total ("&amp;$L$392&amp;" kg/dia) é a soma das cargas das duas correntes."</f>
        <v>A mistura fica com 4,7619 mg/L. O valor está entre 2 e 60 mg/L e fica mais perto da corrente de maior vazão, porque a média é ponderada pelas vazões. A carga total (43,2 kg/dia) é a soma das cargas das duas correntes.</v>
      </c>
      <c r="D223" s="25" t="n"/>
      <c r="E223" s="25" t="n"/>
      <c r="F223" s="25" t="n"/>
      <c r="G223" s="25" t="n"/>
      <c r="H223" s="25" t="n"/>
      <c r="K223" s="61" t="inlineStr">
        <is>
          <t>[Ex 2.4] Qd (arredondado)</t>
        </is>
      </c>
      <c r="L223" s="61">
        <f>IFERROR(ROUND($L$213,IF($L$213=0,0,4-INT(LOG10(ABS($L$213))))),"")</f>
        <v>1200</v>
      </c>
    </row>
    <row r="224" ht="32" customHeight="1">
      <c r="B224" s="103" t="inlineStr">
        <is>
          <t>Teste na calculadora</t>
        </is>
      </c>
      <c r="C224" s="104" t="inlineStr">
        <is>
          <t>Na aba 05 — Balanço de Massa, vá até a Ferramenta 1 e escolha Exemplo 02 na lista Cenário. Depois troque para Meu cálculo e teste outros valores.</t>
        </is>
      </c>
      <c r="D224" s="104" t="n"/>
      <c r="E224" s="104" t="n"/>
      <c r="F224" s="104" t="n"/>
      <c r="G224" s="104" t="n"/>
      <c r="H224" s="104" t="n"/>
      <c r="K224" s="61" t="inlineStr">
        <is>
          <t>[Ex 2.4] Qd (texto)</t>
        </is>
      </c>
      <c r="L224" s="61" t="str">
        <f>IF(ISNUMBER($L$223),FIXED($L$223,IF(ROUND($L$223,0)=$L$223,0,IF(ROUND($L$223,1)=$L$223,1,IF(ROUND($L$223,2)=$L$223,2,IF(ROUND($L$223,3)=$L$223,3,IF(ROUND($L$223,4)=$L$223,4,IF(ROUND($L$223,5)=$L$223,5,IF(ROUND($L$223,6)=$L$223,6,7)))))))),"?")</f>
        <v>1.200</v>
      </c>
    </row>
    <row r="225" ht="14" customHeight="1">
      <c r="K225" s="61" t="inlineStr">
        <is>
          <t>[Ex 2.4] Lg (arredondado)</t>
        </is>
      </c>
      <c r="L225" s="61">
        <f>IFERROR(ROUND($L$214,IF($L$214=0,0,4-INT(LOG10(ABS($L$214))))),"")</f>
        <v>150000</v>
      </c>
    </row>
    <row r="226" ht="26" customHeight="1">
      <c r="B226" s="147" t="inlineStr">
        <is>
          <t>EXEMPLO 4.3   ·   Decantador primário</t>
        </is>
      </c>
      <c r="C226" s="147" t="n"/>
      <c r="D226" s="147" t="n"/>
      <c r="E226" s="147" t="n"/>
      <c r="F226" s="147" t="n"/>
      <c r="G226" s="135" t="inlineStr">
        <is>
          <t>▶ Abrir na calculadora</t>
        </is>
      </c>
      <c r="H226" s="135" t="n"/>
      <c r="K226" s="61" t="inlineStr">
        <is>
          <t>[Ex 2.4] Lg (texto)</t>
        </is>
      </c>
      <c r="L226" s="61" t="str">
        <f>IF(ISNUMBER($L$225),FIXED($L$225,IF(ROUND($L$225,0)=$L$225,0,IF(ROUND($L$225,1)=$L$225,1,IF(ROUND($L$225,2)=$L$225,2,IF(ROUND($L$225,3)=$L$225,3,IF(ROUND($L$225,4)=$L$225,4,IF(ROUND($L$225,5)=$L$225,5,IF(ROUND($L$225,6)=$L$225,6,7)))))))),"?")</f>
        <v>150.000</v>
      </c>
    </row>
    <row r="227" ht="32" customHeight="1">
      <c r="B227" s="64" t="inlineStr">
        <is>
          <t>Situação prática</t>
        </is>
      </c>
      <c r="C227" s="25" t="inlineStr">
        <is>
          <t>Um decantador primário recebe 500 m³/dia com 180 mg/L de SST. O clarificado sai com 490 m³/dia e 30 mg/L, e o lodo é retirado a 10 m³/dia.</t>
        </is>
      </c>
      <c r="D227" s="25" t="n"/>
      <c r="E227" s="25" t="n"/>
      <c r="F227" s="25" t="n"/>
      <c r="G227" s="25" t="n"/>
      <c r="H227" s="25" t="n"/>
      <c r="K227" s="61" t="inlineStr">
        <is>
          <t>[Ex 2.5] Lg</t>
        </is>
      </c>
      <c r="L227" s="61">
        <f>IFERROR('03 — Carga Poluidora'!$C$102*1000,"")</f>
        <v>72000</v>
      </c>
    </row>
    <row r="228" ht="21" customHeight="1">
      <c r="B228" s="64" t="inlineStr">
        <is>
          <t>Dados utilizados</t>
        </is>
      </c>
      <c r="C228" s="25" t="str">
        <f>"Qe = "&amp;$L$411&amp;" "&amp;"m³/dia"&amp;"   |   "&amp;"Ce = "&amp;$L$407&amp;" "&amp;"mg/L"&amp;"   |   "&amp;"Qa = "&amp;$L$409&amp;" "&amp;"m³/dia"&amp;"   |   "&amp;"Ca = "&amp;$L$405&amp;" "&amp;"mg/L"&amp;"   |   "&amp;"Ql = "&amp;$L$413&amp;" "&amp;"m³/dia"</f>
        <v>Qe = 500 m³/dia   |   Ce = 180 mg/L   |   Qa = 490 m³/dia   |   Ca = 30 mg/L   |   Ql = 10 m³/dia</v>
      </c>
      <c r="D228" s="25" t="n"/>
      <c r="E228" s="25" t="n"/>
      <c r="F228" s="25" t="n"/>
      <c r="G228" s="25" t="n"/>
      <c r="H228" s="25" t="n"/>
      <c r="K228" s="61" t="inlineStr">
        <is>
          <t>[Ex 2.5] Qd</t>
        </is>
      </c>
      <c r="L228" s="61">
        <f>IFERROR($L$227/'03 — Carga Poluidora'!$C$103,"")</f>
        <v>400</v>
      </c>
    </row>
    <row r="229" ht="24" customHeight="1">
      <c r="B229" s="64" t="inlineStr">
        <is>
          <t>Fórmula</t>
        </is>
      </c>
      <c r="C229" s="136" t="inlineStr">
        <is>
          <t>Qe × Ce = Qa × Ca + Ql × Cl     →     Cl = (Qe × Ce − Qa × Ca) ÷ Ql</t>
        </is>
      </c>
      <c r="D229" s="136" t="n"/>
      <c r="E229" s="136" t="n"/>
      <c r="F229" s="136" t="n"/>
      <c r="G229" s="136" t="n"/>
      <c r="H229" s="136" t="n"/>
      <c r="K229" s="61" t="inlineStr">
        <is>
          <t>[Ex 2.5] Qh</t>
        </is>
      </c>
      <c r="L229" s="61">
        <f>IFERROR($L$228/24,"")</f>
        <v>16.6666666666667</v>
      </c>
    </row>
    <row r="230" ht="21" customHeight="1">
      <c r="B230" s="64" t="inlineStr">
        <is>
          <t>Substituição</t>
        </is>
      </c>
      <c r="C230" s="25" t="str">
        <f>"Cl = ("&amp;$L$411&amp;" × "&amp;$L$407&amp;" − "&amp;$L$409&amp;" × "&amp;$L$405&amp;") ÷ "&amp;$L$413&amp;" = ("&amp;$L$419&amp;" − "&amp;$L$417&amp;") ÷ "&amp;$L$413&amp;" = "&amp;$L$415&amp;" mg/L"</f>
        <v>Cl = (500 × 180 − 490 × 30) ÷ 10 = (90.000 − 14.700) ÷ 10 = 7.530 mg/L</v>
      </c>
      <c r="D230" s="25" t="n"/>
      <c r="E230" s="25" t="n"/>
      <c r="F230" s="25" t="n"/>
      <c r="G230" s="25" t="n"/>
      <c r="H230" s="25" t="n"/>
      <c r="K230" s="61" t="inlineStr">
        <is>
          <t>[Ex 2.5] Qls</t>
        </is>
      </c>
      <c r="L230" s="61">
        <f>IFERROR($L$228/86.4,"")</f>
        <v>4.62962962962963</v>
      </c>
    </row>
    <row r="231" ht="47" customHeight="1">
      <c r="B231" s="64" t="inlineStr">
        <is>
          <t>Resolução</t>
        </is>
      </c>
      <c r="C231" s="25" t="str">
        <f>"1) Massa que entra: Qe × Ce = "&amp;$L$411&amp;" × "&amp;$L$407&amp;" = "&amp;$L$419&amp;" g/dia."&amp;CHAR(10)&amp;"2) Massa no clarificado: Qa × Ca = "&amp;$L$409&amp;" × "&amp;$L$405&amp;" = "&amp;$L$417&amp;" g/dia."&amp;CHAR(10)&amp;"3) Massa no lodo = "&amp;$L$419&amp;" − "&amp;$L$417&amp;"; Cl = essa massa ÷ Ql = "&amp;$L$415&amp;" mg/L."</f>
        <v>1) Massa que entra: Qe × Ce = 500 × 180 = 90.000 g/dia.
2) Massa no clarificado: Qa × Ca = 490 × 30 = 14.700 g/dia.
3) Massa no lodo = 90.000 − 14.700; Cl = essa massa ÷ Ql = 7.530 mg/L.</v>
      </c>
      <c r="D231" s="25" t="n"/>
      <c r="E231" s="25" t="n"/>
      <c r="F231" s="25" t="n"/>
      <c r="G231" s="25" t="n"/>
      <c r="H231" s="25" t="n"/>
      <c r="K231" s="61" t="inlineStr">
        <is>
          <t>[Ex 2.5] C (arredondado)</t>
        </is>
      </c>
      <c r="L231" s="61">
        <f>IFERROR(ROUND('03 — Carga Poluidora'!$C$103,IF('03 — Carga Poluidora'!$C$103=0,0,4-INT(LOG10(ABS('03 — Carga Poluidora'!$C$103))))),"")</f>
        <v>180</v>
      </c>
    </row>
    <row r="232" ht="22.3" customHeight="1">
      <c r="B232" s="137" t="inlineStr">
        <is>
          <t>Resultado</t>
        </is>
      </c>
      <c r="C232" s="138" t="str">
        <f>"Cl = "&amp;$L$415&amp;" mg/L   |   Balanço hidráulico: Qa + Ql = "&amp;$L$421&amp;" m³/dia"</f>
        <v>Cl = 7.530 mg/L   |   Balanço hidráulico: Qa + Ql = 500 m³/dia</v>
      </c>
      <c r="D232" s="138" t="n"/>
      <c r="E232" s="138" t="n"/>
      <c r="F232" s="138" t="n"/>
      <c r="G232" s="138" t="n"/>
      <c r="H232" s="138" t="n"/>
      <c r="K232" s="61" t="inlineStr">
        <is>
          <t>[Ex 2.5] C (texto)</t>
        </is>
      </c>
      <c r="L232" s="61" t="str">
        <f>IF(ISNUMBER($L$231),FIXED($L$231,IF(ROUND($L$231,0)=$L$231,0,IF(ROUND($L$231,1)=$L$231,1,IF(ROUND($L$231,2)=$L$231,2,IF(ROUND($L$231,3)=$L$231,3,IF(ROUND($L$231,4)=$L$231,4,IF(ROUND($L$231,5)=$L$231,5,IF(ROUND($L$231,6)=$L$231,6,7)))))))),"?")</f>
        <v>180</v>
      </c>
    </row>
    <row r="233" ht="34" customHeight="1">
      <c r="B233" s="64" t="inlineStr">
        <is>
          <t>Explicação simples</t>
        </is>
      </c>
      <c r="C233" s="25" t="str">
        <f>IF($L$395&lt;0,"O resultado é negativo: pelos dados, o clarificado leva mais sólidos do que entram no decantador. Isso não acontece na prática, então confira vazões e concentrações.","O lodo sai com "&amp;$L$415&amp;" mg/L de sólidos."&amp;IF(ISNUMBER($L$403)," É cerca de "&amp;$L$425&amp;" vezes a concentração de entrada.",""))&amp;" "&amp;IF($L$401,"Balanço hidráulico fechado: Qe = Qa + Ql = "&amp;$L$411&amp;" m³/dia.","Atenção: Qe ("&amp;$L$411&amp;") é diferente de Qa + Ql ("&amp;$L$421&amp;"). Diferença de "&amp;$L$423&amp;" m³/dia. Confira as vazões.")</f>
        <v>O lodo sai com 7.530 mg/L de sólidos. É cerca de 41,8 vezes a concentração de entrada. Balanço hidráulico fechado: Qe = Qa + Ql = 500 m³/dia.</v>
      </c>
      <c r="D233" s="25" t="n"/>
      <c r="E233" s="25" t="n"/>
      <c r="F233" s="25" t="n"/>
      <c r="G233" s="25" t="n"/>
      <c r="H233" s="25" t="n"/>
      <c r="K233" s="61" t="inlineStr">
        <is>
          <t>[Ex 2.5] L (arredondado)</t>
        </is>
      </c>
      <c r="L233" s="61">
        <f>IFERROR(ROUND('03 — Carga Poluidora'!$C$102,IF('03 — Carga Poluidora'!$C$102=0,0,4-INT(LOG10(ABS('03 — Carga Poluidora'!$C$102))))),"")</f>
        <v>72</v>
      </c>
    </row>
    <row r="234" ht="32" customHeight="1">
      <c r="B234" s="103" t="inlineStr">
        <is>
          <t>Teste na calculadora</t>
        </is>
      </c>
      <c r="C234" s="104" t="inlineStr">
        <is>
          <t>Na aba 05 — Balanço de Massa, vá até a Ferramenta 2 e escolha Exemplo 01 na lista Cenário. Depois troque para Meu cálculo e teste outros valores.</t>
        </is>
      </c>
      <c r="D234" s="104" t="n"/>
      <c r="E234" s="104" t="n"/>
      <c r="F234" s="104" t="n"/>
      <c r="G234" s="104" t="n"/>
      <c r="H234" s="104" t="n"/>
      <c r="K234" s="61" t="inlineStr">
        <is>
          <t>[Ex 2.5] L (texto)</t>
        </is>
      </c>
      <c r="L234" s="61" t="str">
        <f>IF(ISNUMBER($L$233),FIXED($L$233,IF(ROUND($L$233,0)=$L$233,0,IF(ROUND($L$233,1)=$L$233,1,IF(ROUND($L$233,2)=$L$233,2,IF(ROUND($L$233,3)=$L$233,3,IF(ROUND($L$233,4)=$L$233,4,IF(ROUND($L$233,5)=$L$233,5,IF(ROUND($L$233,6)=$L$233,6,7)))))))),"?")</f>
        <v>72</v>
      </c>
    </row>
    <row r="235" ht="14" customHeight="1">
      <c r="K235" s="61" t="inlineStr">
        <is>
          <t>[Ex 2.5] Qd (arredondado)</t>
        </is>
      </c>
      <c r="L235" s="61">
        <f>IFERROR(ROUND($L$228,IF($L$228=0,0,4-INT(LOG10(ABS($L$228))))),"")</f>
        <v>400</v>
      </c>
    </row>
    <row r="236" ht="26" customHeight="1">
      <c r="B236" s="147" t="inlineStr">
        <is>
          <t>EXEMPLO 4.4   ·   Decantador secundário</t>
        </is>
      </c>
      <c r="C236" s="147" t="n"/>
      <c r="D236" s="147" t="n"/>
      <c r="E236" s="147" t="n"/>
      <c r="F236" s="147" t="n"/>
      <c r="G236" s="135" t="inlineStr">
        <is>
          <t>▶ Abrir na calculadora</t>
        </is>
      </c>
      <c r="H236" s="135" t="n"/>
      <c r="K236" s="61" t="inlineStr">
        <is>
          <t>[Ex 2.5] Qd (texto)</t>
        </is>
      </c>
      <c r="L236" s="61" t="str">
        <f>IF(ISNUMBER($L$235),FIXED($L$235,IF(ROUND($L$235,0)=$L$235,0,IF(ROUND($L$235,1)=$L$235,1,IF(ROUND($L$235,2)=$L$235,2,IF(ROUND($L$235,3)=$L$235,3,IF(ROUND($L$235,4)=$L$235,4,IF(ROUND($L$235,5)=$L$235,5,IF(ROUND($L$235,6)=$L$235,6,7)))))))),"?")</f>
        <v>400</v>
      </c>
    </row>
    <row r="237" ht="32" customHeight="1">
      <c r="B237" s="64" t="inlineStr">
        <is>
          <t>Situação prática</t>
        </is>
      </c>
      <c r="C237" s="25" t="inlineStr">
        <is>
          <t>Um decantador secundário recebe 1.000 m³/dia com 220 mg/L de sólidos. Saem 985 m³/dia de clarificado com 25 mg/L e 15 m³/dia de lodo.</t>
        </is>
      </c>
      <c r="D237" s="25" t="n"/>
      <c r="E237" s="25" t="n"/>
      <c r="F237" s="25" t="n"/>
      <c r="G237" s="25" t="n"/>
      <c r="H237" s="25" t="n"/>
      <c r="K237" s="61" t="inlineStr">
        <is>
          <t>[Ex 2.5] Lg (arredondado)</t>
        </is>
      </c>
      <c r="L237" s="61">
        <f>IFERROR(ROUND($L$227,IF($L$227=0,0,4-INT(LOG10(ABS($L$227))))),"")</f>
        <v>72000</v>
      </c>
    </row>
    <row r="238" ht="21" customHeight="1">
      <c r="B238" s="64" t="inlineStr">
        <is>
          <t>Dados utilizados</t>
        </is>
      </c>
      <c r="C238" s="25" t="str">
        <f>"Qe = "&amp;$L$444&amp;" "&amp;"m³/dia"&amp;"   |   "&amp;"Ce = "&amp;$L$440&amp;" "&amp;"mg/L"&amp;"   |   "&amp;"Qa = "&amp;$L$442&amp;" "&amp;"m³/dia"&amp;"   |   "&amp;"Ca = "&amp;$L$438&amp;" "&amp;"mg/L"&amp;"   |   "&amp;"Ql = "&amp;$L$446&amp;" "&amp;"m³/dia"</f>
        <v>Qe = 1.000 m³/dia   |   Ce = 220 mg/L   |   Qa = 985 m³/dia   |   Ca = 25 mg/L   |   Ql = 15 m³/dia</v>
      </c>
      <c r="D238" s="25" t="n"/>
      <c r="E238" s="25" t="n"/>
      <c r="F238" s="25" t="n"/>
      <c r="G238" s="25" t="n"/>
      <c r="H238" s="25" t="n"/>
      <c r="K238" s="61" t="inlineStr">
        <is>
          <t>[Ex 2.5] Lg (texto)</t>
        </is>
      </c>
      <c r="L238" s="61" t="str">
        <f>IF(ISNUMBER($L$237),FIXED($L$237,IF(ROUND($L$237,0)=$L$237,0,IF(ROUND($L$237,1)=$L$237,1,IF(ROUND($L$237,2)=$L$237,2,IF(ROUND($L$237,3)=$L$237,3,IF(ROUND($L$237,4)=$L$237,4,IF(ROUND($L$237,5)=$L$237,5,IF(ROUND($L$237,6)=$L$237,6,7)))))))),"?")</f>
        <v>72.000</v>
      </c>
    </row>
    <row r="239" ht="24" customHeight="1">
      <c r="B239" s="64" t="inlineStr">
        <is>
          <t>Fórmula</t>
        </is>
      </c>
      <c r="C239" s="136" t="inlineStr">
        <is>
          <t>Qe × Ce = Qa × Ca + Ql × Cl     →     Cl = (Qe × Ce − Qa × Ca) ÷ Ql</t>
        </is>
      </c>
      <c r="D239" s="136" t="n"/>
      <c r="E239" s="136" t="n"/>
      <c r="F239" s="136" t="n"/>
      <c r="G239" s="136" t="n"/>
      <c r="H239" s="136" t="n"/>
      <c r="K239" s="61" t="inlineStr">
        <is>
          <t>[Ex 2.5] Qls (arredondado)</t>
        </is>
      </c>
      <c r="L239" s="61">
        <f>IFERROR(ROUND($L$230,IF($L$230=0,0,4-INT(LOG10(ABS($L$230))))),"")</f>
        <v>4.6296</v>
      </c>
    </row>
    <row r="240" ht="21" customHeight="1">
      <c r="B240" s="64" t="inlineStr">
        <is>
          <t>Substituição</t>
        </is>
      </c>
      <c r="C240" s="25" t="str">
        <f>"Cl = ("&amp;$L$444&amp;" × "&amp;$L$440&amp;" − "&amp;$L$442&amp;" × "&amp;$L$438&amp;") ÷ "&amp;$L$446&amp;" = ("&amp;$L$452&amp;" − "&amp;$L$450&amp;") ÷ "&amp;$L$446&amp;" = "&amp;$L$448&amp;" mg/L"</f>
        <v>Cl = (1.000 × 220 − 985 × 25) ÷ 15 = (220.000 − 24.625) ÷ 15 = 13.025 mg/L</v>
      </c>
      <c r="D240" s="25" t="n"/>
      <c r="E240" s="25" t="n"/>
      <c r="F240" s="25" t="n"/>
      <c r="G240" s="25" t="n"/>
      <c r="H240" s="25" t="n"/>
      <c r="K240" s="61" t="inlineStr">
        <is>
          <t>[Ex 2.5] Qls (texto)</t>
        </is>
      </c>
      <c r="L240" s="61" t="str">
        <f>IF(ISNUMBER($L$239),FIXED($L$239,IF(ROUND($L$239,0)=$L$239,0,IF(ROUND($L$239,1)=$L$239,1,IF(ROUND($L$239,2)=$L$239,2,IF(ROUND($L$239,3)=$L$239,3,IF(ROUND($L$239,4)=$L$239,4,IF(ROUND($L$239,5)=$L$239,5,IF(ROUND($L$239,6)=$L$239,6,7)))))))),"?")</f>
        <v>4,6296</v>
      </c>
    </row>
    <row r="241" ht="47" customHeight="1">
      <c r="B241" s="64" t="inlineStr">
        <is>
          <t>Resolução</t>
        </is>
      </c>
      <c r="C241" s="25" t="str">
        <f>"1) Massa que entra: Qe × Ce = "&amp;$L$444&amp;" × "&amp;$L$440&amp;" = "&amp;$L$452&amp;" g/dia."&amp;CHAR(10)&amp;"2) Massa no clarificado: Qa × Ca = "&amp;$L$442&amp;" × "&amp;$L$438&amp;" = "&amp;$L$450&amp;" g/dia."&amp;CHAR(10)&amp;"3) Massa no lodo = "&amp;$L$452&amp;" − "&amp;$L$450&amp;"; Cl = essa massa ÷ Ql = "&amp;$L$448&amp;" mg/L."</f>
        <v>1) Massa que entra: Qe × Ce = 1.000 × 220 = 220.000 g/dia.
2) Massa no clarificado: Qa × Ca = 985 × 25 = 24.625 g/dia.
3) Massa no lodo = 220.000 − 24.625; Cl = essa massa ÷ Ql = 13.025 mg/L.</v>
      </c>
      <c r="D241" s="25" t="n"/>
      <c r="E241" s="25" t="n"/>
      <c r="F241" s="25" t="n"/>
      <c r="G241" s="25" t="n"/>
      <c r="H241" s="25" t="n"/>
      <c r="K241" s="61" t="inlineStr">
        <is>
          <t>[Ex 2.6] Lg</t>
        </is>
      </c>
      <c r="L241" s="61">
        <f>IFERROR('03 — Carga Poluidora'!$D$102*1000,"")</f>
        <v>6000</v>
      </c>
    </row>
    <row r="242" ht="22.3" customHeight="1">
      <c r="B242" s="137" t="inlineStr">
        <is>
          <t>Resultado</t>
        </is>
      </c>
      <c r="C242" s="138" t="str">
        <f>"Cl = "&amp;$L$448&amp;" mg/L   |   Balanço hidráulico: Qa + Ql = "&amp;$L$454&amp;" m³/dia"</f>
        <v>Cl = 13.025 mg/L   |   Balanço hidráulico: Qa + Ql = 1.000 m³/dia</v>
      </c>
      <c r="D242" s="138" t="n"/>
      <c r="E242" s="138" t="n"/>
      <c r="F242" s="138" t="n"/>
      <c r="G242" s="138" t="n"/>
      <c r="H242" s="138" t="n"/>
      <c r="K242" s="61" t="inlineStr">
        <is>
          <t>[Ex 2.6] Qd</t>
        </is>
      </c>
      <c r="L242" s="61">
        <f>IFERROR($L$241/'03 — Carga Poluidora'!$D$103,"")</f>
        <v>750</v>
      </c>
    </row>
    <row r="243" ht="34" customHeight="1">
      <c r="B243" s="64" t="inlineStr">
        <is>
          <t>Explicação simples</t>
        </is>
      </c>
      <c r="C243" s="25" t="str">
        <f>IF($L$428&lt;0,"O resultado é negativo: pelos dados, o clarificado leva mais sólidos do que entram no decantador. Isso não acontece na prática, então confira vazões e concentrações.","O lodo sai com "&amp;$L$448&amp;" mg/L de sólidos."&amp;IF(ISNUMBER($L$436)," É cerca de "&amp;$L$458&amp;" vezes a concentração de entrada.",""))&amp;" "&amp;IF($L$434,"Balanço hidráulico fechado: Qe = Qa + Ql = "&amp;$L$444&amp;" m³/dia.","Atenção: Qe ("&amp;$L$444&amp;") é diferente de Qa + Ql ("&amp;$L$454&amp;"). Diferença de "&amp;$L$456&amp;" m³/dia. Confira as vazões.")</f>
        <v>O lodo sai com 13.025 mg/L de sólidos. É cerca de 59,2 vezes a concentração de entrada. Balanço hidráulico fechado: Qe = Qa + Ql = 1.000 m³/dia.</v>
      </c>
      <c r="D243" s="25" t="n"/>
      <c r="E243" s="25" t="n"/>
      <c r="F243" s="25" t="n"/>
      <c r="G243" s="25" t="n"/>
      <c r="H243" s="25" t="n"/>
      <c r="K243" s="61" t="inlineStr">
        <is>
          <t>[Ex 2.6] Qh</t>
        </is>
      </c>
      <c r="L243" s="61">
        <f>IFERROR($L$242/24,"")</f>
        <v>31.25</v>
      </c>
    </row>
    <row r="244" ht="32" customHeight="1">
      <c r="B244" s="103" t="inlineStr">
        <is>
          <t>Teste na calculadora</t>
        </is>
      </c>
      <c r="C244" s="104" t="inlineStr">
        <is>
          <t>Na aba 05 — Balanço de Massa, vá até a Ferramenta 2 e escolha Exemplo 02 na lista Cenário. Depois troque para Meu cálculo e teste outros valores.</t>
        </is>
      </c>
      <c r="D244" s="104" t="n"/>
      <c r="E244" s="104" t="n"/>
      <c r="F244" s="104" t="n"/>
      <c r="G244" s="104" t="n"/>
      <c r="H244" s="104" t="n"/>
      <c r="K244" s="61" t="inlineStr">
        <is>
          <t>[Ex 2.6] Qls</t>
        </is>
      </c>
      <c r="L244" s="61">
        <f>IFERROR($L$242/86.4,"")</f>
        <v>8.68055555555556</v>
      </c>
    </row>
    <row r="245" ht="14" customHeight="1">
      <c r="K245" s="61" t="inlineStr">
        <is>
          <t>[Ex 2.6] C (arredondado)</t>
        </is>
      </c>
      <c r="L245" s="61">
        <f>IFERROR(ROUND('03 — Carga Poluidora'!$D$103,IF('03 — Carga Poluidora'!$D$103=0,0,4-INT(LOG10(ABS('03 — Carga Poluidora'!$D$103))))),"")</f>
        <v>8</v>
      </c>
    </row>
    <row r="246" ht="26" customHeight="1">
      <c r="B246" s="147" t="inlineStr">
        <is>
          <t>EXEMPLO 4.5   ·   Acúmulo de lodo em um tanque</t>
        </is>
      </c>
      <c r="C246" s="147" t="n"/>
      <c r="D246" s="147" t="n"/>
      <c r="E246" s="147" t="n"/>
      <c r="F246" s="147" t="n"/>
      <c r="G246" s="135" t="inlineStr">
        <is>
          <t>▶ Abrir na calculadora</t>
        </is>
      </c>
      <c r="H246" s="135" t="n"/>
      <c r="K246" s="61" t="inlineStr">
        <is>
          <t>[Ex 2.6] C (texto)</t>
        </is>
      </c>
      <c r="L246" s="61" t="str">
        <f>IF(ISNUMBER($L$245),FIXED($L$245,IF(ROUND($L$245,0)=$L$245,0,IF(ROUND($L$245,1)=$L$245,1,IF(ROUND($L$245,2)=$L$245,2,IF(ROUND($L$245,3)=$L$245,3,IF(ROUND($L$245,4)=$L$245,4,IF(ROUND($L$245,5)=$L$245,5,IF(ROUND($L$245,6)=$L$245,6,7)))))))),"?")</f>
        <v>8</v>
      </c>
    </row>
    <row r="247" ht="32" customHeight="1">
      <c r="B247" s="64" t="inlineStr">
        <is>
          <t>Situação prática</t>
        </is>
      </c>
      <c r="C247" s="25" t="inlineStr">
        <is>
          <t>Um tanque recebe 100 kg/dia de sólidos e descarta 20 kg/dia. Não há geração nem consumo. Quanto lodo se acumula por dia?</t>
        </is>
      </c>
      <c r="D247" s="25" t="n"/>
      <c r="E247" s="25" t="n"/>
      <c r="F247" s="25" t="n"/>
      <c r="G247" s="25" t="n"/>
      <c r="H247" s="25" t="n"/>
      <c r="K247" s="61" t="inlineStr">
        <is>
          <t>[Ex 2.6] L (arredondado)</t>
        </is>
      </c>
      <c r="L247" s="61">
        <f>IFERROR(ROUND('03 — Carga Poluidora'!$D$102,IF('03 — Carga Poluidora'!$D$102=0,0,4-INT(LOG10(ABS('03 — Carga Poluidora'!$D$102))))),"")</f>
        <v>6</v>
      </c>
    </row>
    <row r="248" ht="21" customHeight="1">
      <c r="B248" s="64" t="inlineStr">
        <is>
          <t>Dados utilizados</t>
        </is>
      </c>
      <c r="C248" s="25" t="str">
        <f>"Entrada = "&amp;$L$466&amp;" "&amp;'05 — Balanço de Massa'!$C$134&amp;"   |   "&amp;"Saída = "&amp;$L$470&amp;" "&amp;'05 — Balanço de Massa'!$C$134&amp;"   |   "&amp;"Geração = "&amp;$L$468&amp;" "&amp;'05 — Balanço de Massa'!$C$134&amp;"   |   "&amp;"Consumo = "&amp;$L$464&amp;" "&amp;'05 — Balanço de Massa'!$C$134</f>
        <v>Entrada = 100 kg/dia   |   Saída = 20 kg/dia   |   Geração = 0 kg/dia   |   Consumo = 0 kg/dia</v>
      </c>
      <c r="D248" s="25" t="n"/>
      <c r="E248" s="25" t="n"/>
      <c r="F248" s="25" t="n"/>
      <c r="G248" s="25" t="n"/>
      <c r="H248" s="25" t="n"/>
      <c r="K248" s="61" t="inlineStr">
        <is>
          <t>[Ex 2.6] L (texto)</t>
        </is>
      </c>
      <c r="L248" s="61" t="str">
        <f>IF(ISNUMBER($L$247),FIXED($L$247,IF(ROUND($L$247,0)=$L$247,0,IF(ROUND($L$247,1)=$L$247,1,IF(ROUND($L$247,2)=$L$247,2,IF(ROUND($L$247,3)=$L$247,3,IF(ROUND($L$247,4)=$L$247,4,IF(ROUND($L$247,5)=$L$247,5,IF(ROUND($L$247,6)=$L$247,6,7)))))))),"?")</f>
        <v>6</v>
      </c>
    </row>
    <row r="249" ht="24" customHeight="1">
      <c r="B249" s="64" t="inlineStr">
        <is>
          <t>Fórmula</t>
        </is>
      </c>
      <c r="C249" s="136" t="inlineStr">
        <is>
          <t>Acúmulo = Entrada − Saída + Geração − Consumo</t>
        </is>
      </c>
      <c r="D249" s="136" t="n"/>
      <c r="E249" s="136" t="n"/>
      <c r="F249" s="136" t="n"/>
      <c r="G249" s="136" t="n"/>
      <c r="H249" s="136" t="n"/>
      <c r="K249" s="61" t="inlineStr">
        <is>
          <t>[Ex 2.6] Qd (arredondado)</t>
        </is>
      </c>
      <c r="L249" s="61">
        <f>IFERROR(ROUND($L$242,IF($L$242=0,0,4-INT(LOG10(ABS($L$242))))),"")</f>
        <v>750</v>
      </c>
    </row>
    <row r="250" ht="21" customHeight="1">
      <c r="B250" s="64" t="inlineStr">
        <is>
          <t>Substituição</t>
        </is>
      </c>
      <c r="C250" s="25" t="str">
        <f>"Acúmulo = "&amp;$L$466&amp;" − "&amp;$L$470&amp;" + "&amp;$L$468&amp;" − "&amp;$L$464&amp;" = "&amp;$L$472&amp;" "&amp;'05 — Balanço de Massa'!$C$134</f>
        <v>Acúmulo = 100 − 20 + 0 − 0 = 80 kg/dia</v>
      </c>
      <c r="D250" s="25" t="n"/>
      <c r="E250" s="25" t="n"/>
      <c r="F250" s="25" t="n"/>
      <c r="G250" s="25" t="n"/>
      <c r="H250" s="25" t="n"/>
      <c r="K250" s="61" t="inlineStr">
        <is>
          <t>[Ex 2.6] Qd (texto)</t>
        </is>
      </c>
      <c r="L250" s="61" t="str">
        <f>IF(ISNUMBER($L$249),FIXED($L$249,IF(ROUND($L$249,0)=$L$249,0,IF(ROUND($L$249,1)=$L$249,1,IF(ROUND($L$249,2)=$L$249,2,IF(ROUND($L$249,3)=$L$249,3,IF(ROUND($L$249,4)=$L$249,4,IF(ROUND($L$249,5)=$L$249,5,IF(ROUND($L$249,6)=$L$249,6,7)))))))),"?")</f>
        <v>750</v>
      </c>
    </row>
    <row r="251" ht="47" customHeight="1">
      <c r="B251" s="64" t="inlineStr">
        <is>
          <t>Resolução</t>
        </is>
      </c>
      <c r="C251" s="25" t="str">
        <f>"1) Somar o que aumenta a massa: Entrada + Geração = "&amp;$L$466&amp;" + "&amp;$L$468&amp;" = "&amp;$L$474&amp;"."&amp;CHAR(10)&amp;"2) Somar o que diminui: Saída + Consumo = "&amp;$L$470&amp;" + "&amp;$L$464&amp;" = "&amp;$L$476&amp;"."&amp;CHAR(10)&amp;"3) Acúmulo = "&amp;$L$474&amp;" − "&amp;$L$476&amp;" = "&amp;$L$472&amp;" "&amp;'05 — Balanço de Massa'!$C$134&amp;"."</f>
        <v>1) Somar o que aumenta a massa: Entrada + Geração = 100 + 0 = 100.
2) Somar o que diminui: Saída + Consumo = 20 + 0 = 20.
3) Acúmulo = 100 − 20 = 80 kg/dia.</v>
      </c>
      <c r="D251" s="25" t="n"/>
      <c r="E251" s="25" t="n"/>
      <c r="F251" s="25" t="n"/>
      <c r="G251" s="25" t="n"/>
      <c r="H251" s="25" t="n"/>
      <c r="K251" s="61" t="inlineStr">
        <is>
          <t>[Ex 2.6] Lg (arredondado)</t>
        </is>
      </c>
      <c r="L251" s="61">
        <f>IFERROR(ROUND($L$241,IF($L$241=0,0,4-INT(LOG10(ABS($L$241))))),"")</f>
        <v>6000</v>
      </c>
    </row>
    <row r="252" ht="22.3" customHeight="1">
      <c r="B252" s="137" t="inlineStr">
        <is>
          <t>Resultado</t>
        </is>
      </c>
      <c r="C252" s="138" t="str">
        <f>"Acúmulo = "&amp;$L$472&amp;" "&amp;'05 — Balanço de Massa'!$C$134</f>
        <v>Acúmulo = 80 kg/dia</v>
      </c>
      <c r="D252" s="138" t="n"/>
      <c r="E252" s="138" t="n"/>
      <c r="F252" s="138" t="n"/>
      <c r="G252" s="138" t="n"/>
      <c r="H252" s="138" t="n"/>
      <c r="K252" s="61" t="inlineStr">
        <is>
          <t>[Ex 2.6] Lg (texto)</t>
        </is>
      </c>
      <c r="L252" s="61" t="str">
        <f>IF(ISNUMBER($L$251),FIXED($L$251,IF(ROUND($L$251,0)=$L$251,0,IF(ROUND($L$251,1)=$L$251,1,IF(ROUND($L$251,2)=$L$251,2,IF(ROUND($L$251,3)=$L$251,3,IF(ROUND($L$251,4)=$L$251,4,IF(ROUND($L$251,5)=$L$251,5,IF(ROUND($L$251,6)=$L$251,6,7)))))))),"?")</f>
        <v>6.000</v>
      </c>
    </row>
    <row r="253" ht="34" customHeight="1">
      <c r="B253" s="64" t="inlineStr">
        <is>
          <t>Explicação simples</t>
        </is>
      </c>
      <c r="C253" s="25" t="str">
        <f>IF($L$459&gt;0,"Acúmulo positivo: a massa dentro do sistema aumenta "&amp;$L$472&amp;" "&amp;'05 — Balanço de Massa'!$C$134&amp;". O constituinte está se acumulando (por exemplo, lodo no fundo de um tanque).",IF($L$459=0,"Acúmulo nulo: o que entra e é gerado é igual ao que sai e é consumido. O sistema está em regime permanente.","Acúmulo negativo: a massa dentro do sistema diminui "&amp;$L$478&amp;" "&amp;'05 — Balanço de Massa'!$C$134&amp;". O sistema está perdendo o constituinte ao longo do tempo."))</f>
        <v>Acúmulo positivo: a massa dentro do sistema aumenta 80 kg/dia. O constituinte está se acumulando (por exemplo, lodo no fundo de um tanque).</v>
      </c>
      <c r="D253" s="25" t="n"/>
      <c r="E253" s="25" t="n"/>
      <c r="F253" s="25" t="n"/>
      <c r="G253" s="25" t="n"/>
      <c r="H253" s="25" t="n"/>
      <c r="K253" s="61" t="inlineStr">
        <is>
          <t>[Ex 2.6] Qls (arredondado)</t>
        </is>
      </c>
      <c r="L253" s="61">
        <f>IFERROR(ROUND($L$244,IF($L$244=0,0,4-INT(LOG10(ABS($L$244))))),"")</f>
        <v>8.6806</v>
      </c>
    </row>
    <row r="254" ht="32" customHeight="1">
      <c r="B254" s="103" t="inlineStr">
        <is>
          <t>Teste na calculadora</t>
        </is>
      </c>
      <c r="C254" s="104" t="inlineStr">
        <is>
          <t>Na aba 05 — Balanço de Massa, vá até a Ferramenta 3 e escolha Exemplo 01 na lista Cenário. Depois troque para Meu cálculo e teste outros valores.</t>
        </is>
      </c>
      <c r="D254" s="104" t="n"/>
      <c r="E254" s="104" t="n"/>
      <c r="F254" s="104" t="n"/>
      <c r="G254" s="104" t="n"/>
      <c r="H254" s="104" t="n"/>
      <c r="K254" s="61" t="inlineStr">
        <is>
          <t>[Ex 2.6] Qls (texto)</t>
        </is>
      </c>
      <c r="L254" s="61" t="str">
        <f>IF(ISNUMBER($L$253),FIXED($L$253,IF(ROUND($L$253,0)=$L$253,0,IF(ROUND($L$253,1)=$L$253,1,IF(ROUND($L$253,2)=$L$253,2,IF(ROUND($L$253,3)=$L$253,3,IF(ROUND($L$253,4)=$L$253,4,IF(ROUND($L$253,5)=$L$253,5,IF(ROUND($L$253,6)=$L$253,6,7)))))))),"?")</f>
        <v>8,6806</v>
      </c>
    </row>
    <row r="255" ht="14" customHeight="1">
      <c r="K255" s="61" t="inlineStr">
        <is>
          <t>[Ex 3.1] dif</t>
        </is>
      </c>
      <c r="L255" s="61">
        <f>IFERROR('04 — Eficiência de Tratamento'!$C$29-'04 — Eficiência de Tratamento'!$C$30,"")</f>
        <v>200</v>
      </c>
    </row>
    <row r="256" ht="26" customHeight="1">
      <c r="B256" s="147" t="inlineStr">
        <is>
          <t>EXEMPLO 4.6   ·   DBO em uma lagoa</t>
        </is>
      </c>
      <c r="C256" s="147" t="n"/>
      <c r="D256" s="147" t="n"/>
      <c r="E256" s="147" t="n"/>
      <c r="F256" s="147" t="n"/>
      <c r="G256" s="135" t="inlineStr">
        <is>
          <t>▶ Abrir na calculadora</t>
        </is>
      </c>
      <c r="H256" s="135" t="n"/>
      <c r="K256" s="61" t="inlineStr">
        <is>
          <t>[Ex 3.1] E</t>
        </is>
      </c>
      <c r="L256" s="61">
        <f>IFERROR($L$255/'04 — Eficiência de Tratamento'!$C$29*100,"")</f>
        <v>80</v>
      </c>
    </row>
    <row r="257" ht="32" customHeight="1">
      <c r="B257" s="64" t="inlineStr">
        <is>
          <t>Situação prática</t>
        </is>
      </c>
      <c r="C257" s="25" t="inlineStr">
        <is>
          <t>Uma lagoa recebe 50 kg/dia de DBO, libera 10 kg/dia no efluente e degrada 45 kg/dia por ação biológica. O que acontece com a massa de DBO na lagoa?</t>
        </is>
      </c>
      <c r="D257" s="25" t="n"/>
      <c r="E257" s="25" t="n"/>
      <c r="F257" s="25" t="n"/>
      <c r="G257" s="25" t="n"/>
      <c r="H257" s="25" t="n"/>
      <c r="K257" s="61" t="inlineStr">
        <is>
          <t>[Ex 3.1] Efr</t>
        </is>
      </c>
      <c r="L257" s="61">
        <f>IFERROR($L$255/'04 — Eficiência de Tratamento'!$C$29,"")</f>
        <v>0.8</v>
      </c>
    </row>
    <row r="258" ht="21" customHeight="1">
      <c r="B258" s="64" t="inlineStr">
        <is>
          <t>Dados utilizados</t>
        </is>
      </c>
      <c r="C258" s="25" t="str">
        <f>"Entrada = "&amp;$L$486&amp;" "&amp;'05 — Balanço de Massa'!$D$134&amp;"   |   "&amp;"Saída = "&amp;$L$490&amp;" "&amp;'05 — Balanço de Massa'!$D$134&amp;"   |   "&amp;"Geração = "&amp;$L$488&amp;" "&amp;'05 — Balanço de Massa'!$D$134&amp;"   |   "&amp;"Consumo = "&amp;$L$484&amp;" "&amp;'05 — Balanço de Massa'!$D$134</f>
        <v>Entrada = 50 kg/dia   |   Saída = 10 kg/dia   |   Geração = 0 kg/dia   |   Consumo = 45 kg/dia</v>
      </c>
      <c r="D258" s="25" t="n"/>
      <c r="E258" s="25" t="n"/>
      <c r="F258" s="25" t="n"/>
      <c r="G258" s="25" t="n"/>
      <c r="H258" s="25" t="n"/>
      <c r="K258" s="61" t="inlineStr">
        <is>
          <t>[Ex 3.1] negE</t>
        </is>
      </c>
      <c r="L258" s="61">
        <f>IFERROR(-$L$256,"")</f>
        <v>-80</v>
      </c>
    </row>
    <row r="259" ht="24" customHeight="1">
      <c r="B259" s="64" t="inlineStr">
        <is>
          <t>Fórmula</t>
        </is>
      </c>
      <c r="C259" s="136" t="inlineStr">
        <is>
          <t>Acúmulo = Entrada − Saída + Geração − Consumo</t>
        </is>
      </c>
      <c r="D259" s="136" t="n"/>
      <c r="E259" s="136" t="n"/>
      <c r="F259" s="136" t="n"/>
      <c r="G259" s="136" t="n"/>
      <c r="H259" s="136" t="n"/>
      <c r="K259" s="61" t="inlineStr">
        <is>
          <t>[Ex 3.1] rem</t>
        </is>
      </c>
      <c r="L259" s="61">
        <f>IFERROR('04 — Eficiência de Tratamento'!$C$30/'04 — Eficiência de Tratamento'!$C$29*100,"")</f>
        <v>20</v>
      </c>
    </row>
    <row r="260" ht="21" customHeight="1">
      <c r="B260" s="64" t="inlineStr">
        <is>
          <t>Substituição</t>
        </is>
      </c>
      <c r="C260" s="25" t="str">
        <f>"Acúmulo = "&amp;$L$486&amp;" − "&amp;$L$490&amp;" + "&amp;$L$488&amp;" − "&amp;$L$484&amp;" = "&amp;$L$492&amp;" "&amp;'05 — Balanço de Massa'!$D$134</f>
        <v>Acúmulo = 50 − 10 + 0 − 45 = -5 kg/dia</v>
      </c>
      <c r="D260" s="25" t="n"/>
      <c r="E260" s="25" t="n"/>
      <c r="F260" s="25" t="n"/>
      <c r="G260" s="25" t="n"/>
      <c r="H260" s="25" t="n"/>
      <c r="K260" s="61" t="inlineStr">
        <is>
          <t>[Ex 3.1] Ce (arredondado)</t>
        </is>
      </c>
      <c r="L260" s="61">
        <f>IFERROR(ROUND('04 — Eficiência de Tratamento'!$C$29,IF('04 — Eficiência de Tratamento'!$C$29=0,0,4-INT(LOG10(ABS('04 — Eficiência de Tratamento'!$C$29))))),"")</f>
        <v>250</v>
      </c>
    </row>
    <row r="261" ht="47" customHeight="1">
      <c r="B261" s="64" t="inlineStr">
        <is>
          <t>Resolução</t>
        </is>
      </c>
      <c r="C261" s="25" t="str">
        <f>"1) Somar o que aumenta a massa: Entrada + Geração = "&amp;$L$486&amp;" + "&amp;$L$488&amp;" = "&amp;$L$494&amp;"."&amp;CHAR(10)&amp;"2) Somar o que diminui: Saída + Consumo = "&amp;$L$490&amp;" + "&amp;$L$484&amp;" = "&amp;$L$496&amp;"."&amp;CHAR(10)&amp;"3) Acúmulo = "&amp;$L$494&amp;" − "&amp;$L$496&amp;" = "&amp;$L$492&amp;" "&amp;'05 — Balanço de Massa'!$D$134&amp;"."</f>
        <v>1) Somar o que aumenta a massa: Entrada + Geração = 50 + 0 = 50.
2) Somar o que diminui: Saída + Consumo = 10 + 45 = 55.
3) Acúmulo = 50 − 55 = -5 kg/dia.</v>
      </c>
      <c r="D261" s="25" t="n"/>
      <c r="E261" s="25" t="n"/>
      <c r="F261" s="25" t="n"/>
      <c r="G261" s="25" t="n"/>
      <c r="H261" s="25" t="n"/>
      <c r="K261" s="61" t="inlineStr">
        <is>
          <t>[Ex 3.1] Ce (texto)</t>
        </is>
      </c>
      <c r="L261" s="61" t="str">
        <f>IF(ISNUMBER($L$260),FIXED($L$260,IF(ROUND($L$260,0)=$L$260,0,IF(ROUND($L$260,1)=$L$260,1,IF(ROUND($L$260,2)=$L$260,2,IF(ROUND($L$260,3)=$L$260,3,IF(ROUND($L$260,4)=$L$260,4,IF(ROUND($L$260,5)=$L$260,5,IF(ROUND($L$260,6)=$L$260,6,7)))))))),"?")</f>
        <v>250</v>
      </c>
    </row>
    <row r="262" ht="22.3" customHeight="1">
      <c r="B262" s="137" t="inlineStr">
        <is>
          <t>Resultado</t>
        </is>
      </c>
      <c r="C262" s="138" t="str">
        <f>"Acúmulo = "&amp;$L$492&amp;" "&amp;'05 — Balanço de Massa'!$D$134</f>
        <v>Acúmulo = -5 kg/dia</v>
      </c>
      <c r="D262" s="138" t="n"/>
      <c r="E262" s="138" t="n"/>
      <c r="F262" s="138" t="n"/>
      <c r="G262" s="138" t="n"/>
      <c r="H262" s="138" t="n"/>
      <c r="K262" s="61" t="inlineStr">
        <is>
          <t>[Ex 3.1] Cs (arredondado)</t>
        </is>
      </c>
      <c r="L262" s="61">
        <f>IFERROR(ROUND('04 — Eficiência de Tratamento'!$C$30,IF('04 — Eficiência de Tratamento'!$C$30=0,0,4-INT(LOG10(ABS('04 — Eficiência de Tratamento'!$C$30))))),"")</f>
        <v>50</v>
      </c>
    </row>
    <row r="263" ht="34" customHeight="1">
      <c r="B263" s="64" t="inlineStr">
        <is>
          <t>Explicação simples</t>
        </is>
      </c>
      <c r="C263" s="25" t="str">
        <f>IF($L$479&gt;0,"Acúmulo positivo: a massa dentro do sistema aumenta "&amp;$L$492&amp;" "&amp;'05 — Balanço de Massa'!$D$134&amp;". O constituinte está se acumulando (por exemplo, lodo no fundo de um tanque).",IF($L$479=0,"Acúmulo nulo: o que entra e é gerado é igual ao que sai e é consumido. O sistema está em regime permanente.","Acúmulo negativo: a massa dentro do sistema diminui "&amp;$L$498&amp;" "&amp;'05 — Balanço de Massa'!$D$134&amp;". O sistema está perdendo o constituinte ao longo do tempo."))</f>
        <v>Acúmulo negativo: a massa dentro do sistema diminui 5 kg/dia. O sistema está perdendo o constituinte ao longo do tempo.</v>
      </c>
      <c r="D263" s="25" t="n"/>
      <c r="E263" s="25" t="n"/>
      <c r="F263" s="25" t="n"/>
      <c r="G263" s="25" t="n"/>
      <c r="H263" s="25" t="n"/>
      <c r="K263" s="61" t="inlineStr">
        <is>
          <t>[Ex 3.1] Cs (texto)</t>
        </is>
      </c>
      <c r="L263" s="61" t="str">
        <f>IF(ISNUMBER($L$262),FIXED($L$262,IF(ROUND($L$262,0)=$L$262,0,IF(ROUND($L$262,1)=$L$262,1,IF(ROUND($L$262,2)=$L$262,2,IF(ROUND($L$262,3)=$L$262,3,IF(ROUND($L$262,4)=$L$262,4,IF(ROUND($L$262,5)=$L$262,5,IF(ROUND($L$262,6)=$L$262,6,7)))))))),"?")</f>
        <v>50</v>
      </c>
    </row>
    <row r="264" ht="32" customHeight="1">
      <c r="B264" s="103" t="inlineStr">
        <is>
          <t>Teste na calculadora</t>
        </is>
      </c>
      <c r="C264" s="104" t="inlineStr">
        <is>
          <t>Na aba 05 — Balanço de Massa, vá até a Ferramenta 3 e escolha Exemplo 02 na lista Cenário. Depois troque para Meu cálculo e teste outros valores.</t>
        </is>
      </c>
      <c r="D264" s="104" t="n"/>
      <c r="E264" s="104" t="n"/>
      <c r="F264" s="104" t="n"/>
      <c r="G264" s="104" t="n"/>
      <c r="H264" s="104" t="n"/>
      <c r="K264" s="61" t="inlineStr">
        <is>
          <t>[Ex 3.1] E (arredondado)</t>
        </is>
      </c>
      <c r="L264" s="61">
        <f>IFERROR(ROUND($L$256,IF($L$256=0,0,4-INT(LOG10(ABS($L$256))))),"")</f>
        <v>80</v>
      </c>
    </row>
    <row r="265" ht="14" customHeight="1">
      <c r="K265" s="61" t="inlineStr">
        <is>
          <t>[Ex 3.1] E (texto)</t>
        </is>
      </c>
      <c r="L265" s="61" t="str">
        <f>IF(ISNUMBER($L$264),FIXED($L$264,IF(ROUND($L$264,0)=$L$264,0,IF(ROUND($L$264,1)=$L$264,1,IF(ROUND($L$264,2)=$L$264,2,IF(ROUND($L$264,3)=$L$264,3,IF(ROUND($L$264,4)=$L$264,4,IF(ROUND($L$264,5)=$L$264,5,IF(ROUND($L$264,6)=$L$264,6,7)))))))),"?")</f>
        <v>80</v>
      </c>
    </row>
    <row r="266">
      <c r="K266" s="61" t="inlineStr">
        <is>
          <t>[Ex 3.1] dif (arredondado)</t>
        </is>
      </c>
      <c r="L266" s="61">
        <f>IFERROR(ROUND($L$255,IF($L$255=0,0,4-INT(LOG10(ABS($L$255))))),"")</f>
        <v>200</v>
      </c>
    </row>
    <row r="267" ht="32" customHeight="1">
      <c r="B267" s="148" t="inlineStr">
        <is>
          <t>🧪  CALCULADORA 05 · DILUIÇÃO DE SOLUÇÕES</t>
        </is>
      </c>
      <c r="C267" s="148" t="n"/>
      <c r="D267" s="148" t="n"/>
      <c r="E267" s="148" t="n"/>
      <c r="F267" s="148" t="n"/>
      <c r="G267" s="148" t="n"/>
      <c r="H267" s="149" t="inlineStr">
        <is>
          <t>▲ Voltar ao índice</t>
        </is>
      </c>
      <c r="K267" s="61" t="inlineStr">
        <is>
          <t>[Ex 3.1] dif (texto)</t>
        </is>
      </c>
      <c r="L267" s="61" t="str">
        <f>IF(ISNUMBER($L$266),FIXED($L$266,IF(ROUND($L$266,0)=$L$266,0,IF(ROUND($L$266,1)=$L$266,1,IF(ROUND($L$266,2)=$L$266,2,IF(ROUND($L$266,3)=$L$266,3,IF(ROUND($L$266,4)=$L$266,4,IF(ROUND($L$266,5)=$L$266,5,IF(ROUND($L$266,6)=$L$266,6,7)))))))),"?")</f>
        <v>200</v>
      </c>
    </row>
    <row r="268" ht="8" customHeight="1">
      <c r="K268" s="61" t="inlineStr">
        <is>
          <t>[Ex 3.1] Efr (arredondado)</t>
        </is>
      </c>
      <c r="L268" s="61">
        <f>IFERROR(ROUND($L$257,IF($L$257=0,0,4-INT(LOG10(ABS($L$257))))),"")</f>
        <v>0.8</v>
      </c>
    </row>
    <row r="269" ht="26" customHeight="1">
      <c r="B269" s="150" t="inlineStr">
        <is>
          <t>EXEMPLO 5.1   ·   Preparo de solução a partir de padrão</t>
        </is>
      </c>
      <c r="C269" s="150" t="n"/>
      <c r="D269" s="150" t="n"/>
      <c r="E269" s="150" t="n"/>
      <c r="F269" s="150" t="n"/>
      <c r="G269" s="135" t="inlineStr">
        <is>
          <t>▶ Abrir na calculadora</t>
        </is>
      </c>
      <c r="H269" s="135" t="n"/>
      <c r="K269" s="61" t="inlineStr">
        <is>
          <t>[Ex 3.1] Efr (texto)</t>
        </is>
      </c>
      <c r="L269" s="61" t="str">
        <f>IF(ISNUMBER($L$268),FIXED($L$268,IF(ROUND($L$268,0)=$L$268,0,IF(ROUND($L$268,1)=$L$268,1,IF(ROUND($L$268,2)=$L$268,2,IF(ROUND($L$268,3)=$L$268,3,IF(ROUND($L$268,4)=$L$268,4,IF(ROUND($L$268,5)=$L$268,5,IF(ROUND($L$268,6)=$L$268,6,7)))))))),"?")</f>
        <v>0,8</v>
      </c>
    </row>
    <row r="270" ht="32" customHeight="1">
      <c r="B270" s="64" t="inlineStr">
        <is>
          <t>Situação prática</t>
        </is>
      </c>
      <c r="C270" s="25" t="inlineStr">
        <is>
          <t>No laboratório há uma solução padrão de 1.000 mg/L. Você precisa preparar 500 mL de uma solução com 200 mg/L. Quanto da solução padrão deve usar?</t>
        </is>
      </c>
      <c r="D270" s="25" t="n"/>
      <c r="E270" s="25" t="n"/>
      <c r="F270" s="25" t="n"/>
      <c r="G270" s="25" t="n"/>
      <c r="H270" s="25" t="n"/>
      <c r="K270" s="61" t="inlineStr">
        <is>
          <t>[Ex 3.1] negE (arredondado)</t>
        </is>
      </c>
      <c r="L270" s="61">
        <f>IFERROR(ROUND($L$258,IF($L$258=0,0,4-INT(LOG10(ABS($L$258))))),"")</f>
        <v>-80</v>
      </c>
    </row>
    <row r="271" ht="21" customHeight="1">
      <c r="B271" s="64" t="inlineStr">
        <is>
          <t>Dados utilizados</t>
        </is>
      </c>
      <c r="C271" s="25" t="str">
        <f>"C₁ = "&amp;IF($L$499=4,"? (a calcular)",$L$530&amp;" "&amp;'06 — Diluição de Soluções'!$C$25)&amp;"   |   V₁ = "&amp;IF($L$499=1,"? (a calcular)",$L$534&amp;" "&amp;'06 — Diluição de Soluções'!$C$27)&amp;"   |   C₂ = "&amp;IF($L$499=2,"? (a calcular)",$L$532&amp;" "&amp;'06 — Diluição de Soluções'!$C$29)&amp;"   |   V₂ = "&amp;IF($L$499=3,"? (a calcular)",$L$536&amp;" "&amp;'06 — Diluição de Soluções'!$C$31)</f>
        <v>C₁ = 1.000 mg/L   |   V₁ = ? (a calcular)   |   C₂ = 200 mg/L   |   V₂ = 500 mL</v>
      </c>
      <c r="D271" s="25" t="n"/>
      <c r="E271" s="25" t="n"/>
      <c r="F271" s="25" t="n"/>
      <c r="G271" s="25" t="n"/>
      <c r="H271" s="25" t="n"/>
      <c r="K271" s="61" t="inlineStr">
        <is>
          <t>[Ex 3.1] negE (texto)</t>
        </is>
      </c>
      <c r="L271" s="61" t="str">
        <f>IF(ISNUMBER($L$270),FIXED($L$270,IF(ROUND($L$270,0)=$L$270,0,IF(ROUND($L$270,1)=$L$270,1,IF(ROUND($L$270,2)=$L$270,2,IF(ROUND($L$270,3)=$L$270,3,IF(ROUND($L$270,4)=$L$270,4,IF(ROUND($L$270,5)=$L$270,5,IF(ROUND($L$270,6)=$L$270,6,7)))))))),"?")</f>
        <v>-80</v>
      </c>
    </row>
    <row r="272" ht="24" customHeight="1">
      <c r="B272" s="64" t="inlineStr">
        <is>
          <t>Fórmula</t>
        </is>
      </c>
      <c r="C272" s="136" t="inlineStr">
        <is>
          <t>C₁ × V₁ = C₂ × V₂</t>
        </is>
      </c>
      <c r="D272" s="136" t="n"/>
      <c r="E272" s="136" t="n"/>
      <c r="F272" s="136" t="n"/>
      <c r="G272" s="136" t="n"/>
      <c r="H272" s="136" t="n"/>
      <c r="K272" s="61" t="inlineStr">
        <is>
          <t>[Ex 3.2] dif</t>
        </is>
      </c>
      <c r="L272" s="61">
        <f>IFERROR('04 — Eficiência de Tratamento'!$D$29-'04 — Eficiência de Tratamento'!$D$30,"")</f>
        <v>420</v>
      </c>
    </row>
    <row r="273" ht="34" customHeight="1">
      <c r="B273" s="64" t="inlineStr">
        <is>
          <t>Substituição</t>
        </is>
      </c>
      <c r="C273" s="25" t="str">
        <f>CHOOSE($L$499,"V₁ = C₂ × V₂ ÷ C₁ = "&amp;$L$540&amp;" × "&amp;$L$544&amp;" ÷ "&amp;$L$538&amp;" = "&amp;$L$542&amp;" mL","C₂ = C₁ × V₁ ÷ V₂ = "&amp;$L$538&amp;" × "&amp;$L$542&amp;" ÷ "&amp;$L$544&amp;" = "&amp;$L$540&amp;" "&amp;$L$525,"V₂ = C₁ × V₁ ÷ C₂ = "&amp;$L$538&amp;" × "&amp;$L$542&amp;" ÷ "&amp;$L$540&amp;" = "&amp;$L$544&amp;" mL","C₁ = C₂ × V₂ ÷ V₁ = "&amp;$L$540&amp;" × "&amp;$L$544&amp;" ÷ "&amp;$L$542&amp;" = "&amp;$L$538&amp;" "&amp;$L$525)&amp;CHAR(10)&amp;"(concentrações em "&amp;$L$525&amp;" e volumes em mL)   →   "&amp;$L$527&amp;" = "&amp;$L$546&amp;" "&amp;$L$528</f>
        <v>V₁ = C₂ × V₂ ÷ C₁ = 200 × 500 ÷ 1.000 = 100 mL
(concentrações em mg/L e volumes em mL)   →   V₁ = 100 mL</v>
      </c>
      <c r="D273" s="25" t="n"/>
      <c r="E273" s="25" t="n"/>
      <c r="F273" s="25" t="n"/>
      <c r="G273" s="25" t="n"/>
      <c r="H273" s="25" t="n"/>
      <c r="K273" s="61" t="inlineStr">
        <is>
          <t>[Ex 3.2] E</t>
        </is>
      </c>
      <c r="L273" s="61">
        <f>IFERROR($L$272/'04 — Eficiência de Tratamento'!$D$29*100,"")</f>
        <v>70</v>
      </c>
    </row>
    <row r="274" ht="60" customHeight="1">
      <c r="B274" s="64" t="inlineStr">
        <is>
          <t>Resolução</t>
        </is>
      </c>
      <c r="C274" s="25" t="str">
        <f>"1) Isolar a incógnita em C₁ × V₁ = C₂ × V₂ e converter para unidades base."&amp;CHAR(10)&amp;"2) "&amp;CHOOSE($L$499,"V₁ = C₂ × V₂ ÷ C₁ = "&amp;$L$540&amp;" × "&amp;$L$544&amp;" ÷ "&amp;$L$538&amp;" = "&amp;$L$542&amp;" mL","C₂ = C₁ × V₁ ÷ V₂ = "&amp;$L$538&amp;" × "&amp;$L$542&amp;" ÷ "&amp;$L$544&amp;" = "&amp;$L$540&amp;" "&amp;$L$525,"V₂ = C₁ × V₁ ÷ C₂ = "&amp;$L$538&amp;" × "&amp;$L$542&amp;" ÷ "&amp;$L$540&amp;" = "&amp;$L$544&amp;" mL","C₁ = C₂ × V₂ ÷ V₁ = "&amp;$L$540&amp;" × "&amp;$L$544&amp;" ÷ "&amp;$L$542&amp;" = "&amp;$L$538&amp;" "&amp;$L$525)&amp;CHAR(10)&amp;"(concentrações em "&amp;$L$525&amp;" e volumes em mL)   →   "&amp;$L$527&amp;" = "&amp;$L$546&amp;" "&amp;$L$528&amp;CHAR(10)&amp;"3) Solvente a adicionar = V₂ − V₁ = "&amp;$L$544&amp;" − "&amp;$L$542&amp;" = "&amp;$L$548&amp;" mL."</f>
        <v>1) Isolar a incógnita em C₁ × V₁ = C₂ × V₂ e converter para unidades base.
2) V₁ = C₂ × V₂ ÷ C₁ = 200 × 500 ÷ 1.000 = 100 mL
(concentrações em mg/L e volumes em mL)   →   V₁ = 100 mL
3) Solvente a adicionar = V₂ − V₁ = 500 − 100 = 400 mL.</v>
      </c>
      <c r="D274" s="25" t="n"/>
      <c r="E274" s="25" t="n"/>
      <c r="F274" s="25" t="n"/>
      <c r="G274" s="25" t="n"/>
      <c r="H274" s="25" t="n"/>
      <c r="K274" s="61" t="inlineStr">
        <is>
          <t>[Ex 3.2] Efr</t>
        </is>
      </c>
      <c r="L274" s="61">
        <f>IFERROR($L$272/'04 — Eficiência de Tratamento'!$D$29,"")</f>
        <v>0.7</v>
      </c>
    </row>
    <row r="275" ht="22.3" customHeight="1">
      <c r="B275" s="137" t="inlineStr">
        <is>
          <t>Resultado</t>
        </is>
      </c>
      <c r="C275" s="138" t="str">
        <f>$L$527&amp;" = "&amp;$L$546&amp;" "&amp;$L$528&amp;"   |   Solvente a adicionar = "&amp;$L$550&amp;" "&amp;'06 — Diluição de Soluções'!$C$31</f>
        <v>V₁ = 100 mL   |   Solvente a adicionar = 400 mL</v>
      </c>
      <c r="D275" s="138" t="n"/>
      <c r="E275" s="138" t="n"/>
      <c r="F275" s="138" t="n"/>
      <c r="G275" s="138" t="n"/>
      <c r="H275" s="138" t="n"/>
      <c r="K275" s="61" t="inlineStr">
        <is>
          <t>[Ex 3.2] negE</t>
        </is>
      </c>
      <c r="L275" s="61">
        <f>IFERROR(-$L$273,"")</f>
        <v>-70</v>
      </c>
    </row>
    <row r="276" ht="34" customHeight="1">
      <c r="B276" s="64" t="inlineStr">
        <is>
          <t>Explicação simples</t>
        </is>
      </c>
      <c r="C276" s="25" t="str">
        <f>"Utilize "&amp;$L$556&amp;" "&amp;'06 — Diluição de Soluções'!$C$27&amp;" da solução estoque e complete com solvente até atingir o volume final de "&amp;$L$558&amp;" "&amp;'06 — Diluição de Soluções'!$C$31&amp;". A solução final terá concentração de "&amp;$L$554&amp;" "&amp;'06 — Diluição de Soluções'!$C$29&amp;"."&amp;IF($L$499=4," A solução estoque precisa ter "&amp;$L$552&amp;" "&amp;'06 — Diluição de Soluções'!$C$25&amp;".","")&amp;IF(ROUND($L$524,9)=1," Como C₁ = C₂, não há diluição.","")</f>
        <v>Utilize 100 mL da solução estoque e complete com solvente até atingir o volume final de 500 mL. A solução final terá concentração de 200 mg/L.</v>
      </c>
      <c r="D276" s="25" t="n"/>
      <c r="E276" s="25" t="n"/>
      <c r="F276" s="25" t="n"/>
      <c r="G276" s="25" t="n"/>
      <c r="H276" s="25" t="n"/>
      <c r="K276" s="61" t="inlineStr">
        <is>
          <t>[Ex 3.2] rem</t>
        </is>
      </c>
      <c r="L276" s="61">
        <f>IFERROR('04 — Eficiência de Tratamento'!$D$30/'04 — Eficiência de Tratamento'!$D$29*100,"")</f>
        <v>30</v>
      </c>
    </row>
    <row r="277" ht="32" customHeight="1">
      <c r="B277" s="103" t="inlineStr">
        <is>
          <t>Teste na calculadora</t>
        </is>
      </c>
      <c r="C277" s="104" t="inlineStr">
        <is>
          <t>Na aba 06 — Diluição de Soluções e escolha Exemplo 01 na lista Cenário. Depois troque para Meu cálculo e teste outros valores.</t>
        </is>
      </c>
      <c r="D277" s="104" t="n"/>
      <c r="E277" s="104" t="n"/>
      <c r="F277" s="104" t="n"/>
      <c r="G277" s="104" t="n"/>
      <c r="H277" s="104" t="n"/>
      <c r="K277" s="61" t="inlineStr">
        <is>
          <t>[Ex 3.2] Ce (arredondado)</t>
        </is>
      </c>
      <c r="L277" s="61">
        <f>IFERROR(ROUND('04 — Eficiência de Tratamento'!$D$29,IF('04 — Eficiência de Tratamento'!$D$29=0,0,4-INT(LOG10(ABS('04 — Eficiência de Tratamento'!$D$29))))),"")</f>
        <v>600</v>
      </c>
    </row>
    <row r="278" ht="14" customHeight="1">
      <c r="K278" s="61" t="inlineStr">
        <is>
          <t>[Ex 3.2] Ce (texto)</t>
        </is>
      </c>
      <c r="L278" s="61" t="str">
        <f>IF(ISNUMBER($L$277),FIXED($L$277,IF(ROUND($L$277,0)=$L$277,0,IF(ROUND($L$277,1)=$L$277,1,IF(ROUND($L$277,2)=$L$277,2,IF(ROUND($L$277,3)=$L$277,3,IF(ROUND($L$277,4)=$L$277,4,IF(ROUND($L$277,5)=$L$277,5,IF(ROUND($L$277,6)=$L$277,6,7)))))))),"?")</f>
        <v>600</v>
      </c>
    </row>
    <row r="279" ht="26" customHeight="1">
      <c r="B279" s="150" t="inlineStr">
        <is>
          <t>EXEMPLO 5.2   ·   Concentração após diluição em balão</t>
        </is>
      </c>
      <c r="C279" s="150" t="n"/>
      <c r="D279" s="150" t="n"/>
      <c r="E279" s="150" t="n"/>
      <c r="F279" s="150" t="n"/>
      <c r="G279" s="135" t="inlineStr">
        <is>
          <t>▶ Abrir na calculadora</t>
        </is>
      </c>
      <c r="H279" s="135" t="n"/>
      <c r="K279" s="61" t="inlineStr">
        <is>
          <t>[Ex 3.2] Cs (arredondado)</t>
        </is>
      </c>
      <c r="L279" s="61">
        <f>IFERROR(ROUND('04 — Eficiência de Tratamento'!$D$30,IF('04 — Eficiência de Tratamento'!$D$30=0,0,4-INT(LOG10(ABS('04 — Eficiência de Tratamento'!$D$30))))),"")</f>
        <v>180</v>
      </c>
    </row>
    <row r="280" ht="32" customHeight="1">
      <c r="B280" s="64" t="inlineStr">
        <is>
          <t>Situação prática</t>
        </is>
      </c>
      <c r="C280" s="25" t="inlineStr">
        <is>
          <t>Foram transferidos 5 mL de uma solução de 1 g/L para um balão de 250 mL, completado com água destilada. Qual é a concentração final em mg/L?</t>
        </is>
      </c>
      <c r="D280" s="25" t="n"/>
      <c r="E280" s="25" t="n"/>
      <c r="F280" s="25" t="n"/>
      <c r="G280" s="25" t="n"/>
      <c r="H280" s="25" t="n"/>
      <c r="K280" s="61" t="inlineStr">
        <is>
          <t>[Ex 3.2] Cs (texto)</t>
        </is>
      </c>
      <c r="L280" s="61" t="str">
        <f>IF(ISNUMBER($L$279),FIXED($L$279,IF(ROUND($L$279,0)=$L$279,0,IF(ROUND($L$279,1)=$L$279,1,IF(ROUND($L$279,2)=$L$279,2,IF(ROUND($L$279,3)=$L$279,3,IF(ROUND($L$279,4)=$L$279,4,IF(ROUND($L$279,5)=$L$279,5,IF(ROUND($L$279,6)=$L$279,6,7)))))))),"?")</f>
        <v>180</v>
      </c>
    </row>
    <row r="281" ht="21" customHeight="1">
      <c r="B281" s="64" t="inlineStr">
        <is>
          <t>Dados utilizados</t>
        </is>
      </c>
      <c r="C281" s="25" t="str">
        <f>"C₁ = "&amp;IF($L$559=4,"? (a calcular)",$L$590&amp;" "&amp;'06 — Diluição de Soluções'!$D$25)&amp;"   |   V₁ = "&amp;IF($L$559=1,"? (a calcular)",$L$594&amp;" "&amp;'06 — Diluição de Soluções'!$D$27)&amp;"   |   C₂ = "&amp;IF($L$559=2,"? (a calcular)",$L$592&amp;" "&amp;'06 — Diluição de Soluções'!$D$29)&amp;"   |   V₂ = "&amp;IF($L$559=3,"? (a calcular)",$L$596&amp;" "&amp;'06 — Diluição de Soluções'!$D$31)</f>
        <v>C₁ = 1 g/L   |   V₁ = 5 mL   |   C₂ = ? (a calcular)   |   V₂ = 250 mL</v>
      </c>
      <c r="D281" s="25" t="n"/>
      <c r="E281" s="25" t="n"/>
      <c r="F281" s="25" t="n"/>
      <c r="G281" s="25" t="n"/>
      <c r="H281" s="25" t="n"/>
      <c r="K281" s="61" t="inlineStr">
        <is>
          <t>[Ex 3.2] E (arredondado)</t>
        </is>
      </c>
      <c r="L281" s="61">
        <f>IFERROR(ROUND($L$273,IF($L$273=0,0,4-INT(LOG10(ABS($L$273))))),"")</f>
        <v>70</v>
      </c>
    </row>
    <row r="282" ht="24" customHeight="1">
      <c r="B282" s="64" t="inlineStr">
        <is>
          <t>Fórmula</t>
        </is>
      </c>
      <c r="C282" s="136" t="inlineStr">
        <is>
          <t>C₁ × V₁ = C₂ × V₂</t>
        </is>
      </c>
      <c r="D282" s="136" t="n"/>
      <c r="E282" s="136" t="n"/>
      <c r="F282" s="136" t="n"/>
      <c r="G282" s="136" t="n"/>
      <c r="H282" s="136" t="n"/>
      <c r="K282" s="61" t="inlineStr">
        <is>
          <t>[Ex 3.2] E (texto)</t>
        </is>
      </c>
      <c r="L282" s="61" t="str">
        <f>IF(ISNUMBER($L$281),FIXED($L$281,IF(ROUND($L$281,0)=$L$281,0,IF(ROUND($L$281,1)=$L$281,1,IF(ROUND($L$281,2)=$L$281,2,IF(ROUND($L$281,3)=$L$281,3,IF(ROUND($L$281,4)=$L$281,4,IF(ROUND($L$281,5)=$L$281,5,IF(ROUND($L$281,6)=$L$281,6,7)))))))),"?")</f>
        <v>70</v>
      </c>
    </row>
    <row r="283" ht="34" customHeight="1">
      <c r="B283" s="64" t="inlineStr">
        <is>
          <t>Substituição</t>
        </is>
      </c>
      <c r="C283" s="25" t="str">
        <f>CHOOSE($L$559,"V₁ = C₂ × V₂ ÷ C₁ = "&amp;$L$600&amp;" × "&amp;$L$604&amp;" ÷ "&amp;$L$598&amp;" = "&amp;$L$602&amp;" mL","C₂ = C₁ × V₁ ÷ V₂ = "&amp;$L$598&amp;" × "&amp;$L$602&amp;" ÷ "&amp;$L$604&amp;" = "&amp;$L$600&amp;" "&amp;$L$585,"V₂ = C₁ × V₁ ÷ C₂ = "&amp;$L$598&amp;" × "&amp;$L$602&amp;" ÷ "&amp;$L$600&amp;" = "&amp;$L$604&amp;" mL","C₁ = C₂ × V₂ ÷ V₁ = "&amp;$L$600&amp;" × "&amp;$L$604&amp;" ÷ "&amp;$L$602&amp;" = "&amp;$L$598&amp;" "&amp;$L$585)&amp;CHAR(10)&amp;"(concentrações em "&amp;$L$585&amp;" e volumes em mL)   →   "&amp;$L$587&amp;" = "&amp;$L$606&amp;" "&amp;$L$588</f>
        <v>C₂ = C₁ × V₁ ÷ V₂ = 1.000 × 5 ÷ 250 = 20 mg/L
(concentrações em mg/L e volumes em mL)   →   C₂ = 20 mg/L</v>
      </c>
      <c r="D283" s="25" t="n"/>
      <c r="E283" s="25" t="n"/>
      <c r="F283" s="25" t="n"/>
      <c r="G283" s="25" t="n"/>
      <c r="H283" s="25" t="n"/>
      <c r="K283" s="61" t="inlineStr">
        <is>
          <t>[Ex 3.2] dif (arredondado)</t>
        </is>
      </c>
      <c r="L283" s="61">
        <f>IFERROR(ROUND($L$272,IF($L$272=0,0,4-INT(LOG10(ABS($L$272))))),"")</f>
        <v>420</v>
      </c>
    </row>
    <row r="284" ht="60" customHeight="1">
      <c r="B284" s="64" t="inlineStr">
        <is>
          <t>Resolução</t>
        </is>
      </c>
      <c r="C284" s="25" t="str">
        <f>"1) Isolar a incógnita em C₁ × V₁ = C₂ × V₂ e converter para unidades base."&amp;CHAR(10)&amp;"2) "&amp;CHOOSE($L$559,"V₁ = C₂ × V₂ ÷ C₁ = "&amp;$L$600&amp;" × "&amp;$L$604&amp;" ÷ "&amp;$L$598&amp;" = "&amp;$L$602&amp;" mL","C₂ = C₁ × V₁ ÷ V₂ = "&amp;$L$598&amp;" × "&amp;$L$602&amp;" ÷ "&amp;$L$604&amp;" = "&amp;$L$600&amp;" "&amp;$L$585,"V₂ = C₁ × V₁ ÷ C₂ = "&amp;$L$598&amp;" × "&amp;$L$602&amp;" ÷ "&amp;$L$600&amp;" = "&amp;$L$604&amp;" mL","C₁ = C₂ × V₂ ÷ V₁ = "&amp;$L$600&amp;" × "&amp;$L$604&amp;" ÷ "&amp;$L$602&amp;" = "&amp;$L$598&amp;" "&amp;$L$585)&amp;CHAR(10)&amp;"(concentrações em "&amp;$L$585&amp;" e volumes em mL)   →   "&amp;$L$587&amp;" = "&amp;$L$606&amp;" "&amp;$L$588&amp;CHAR(10)&amp;"3) Solvente a adicionar = V₂ − V₁ = "&amp;$L$604&amp;" − "&amp;$L$602&amp;" = "&amp;$L$608&amp;" mL."</f>
        <v>1) Isolar a incógnita em C₁ × V₁ = C₂ × V₂ e converter para unidades base.
2) C₂ = C₁ × V₁ ÷ V₂ = 1.000 × 5 ÷ 250 = 20 mg/L
(concentrações em mg/L e volumes em mL)   →   C₂ = 20 mg/L
3) Solvente a adicionar = V₂ − V₁ = 250 − 5 = 245 mL.</v>
      </c>
      <c r="D284" s="25" t="n"/>
      <c r="E284" s="25" t="n"/>
      <c r="F284" s="25" t="n"/>
      <c r="G284" s="25" t="n"/>
      <c r="H284" s="25" t="n"/>
      <c r="K284" s="61" t="inlineStr">
        <is>
          <t>[Ex 3.2] dif (texto)</t>
        </is>
      </c>
      <c r="L284" s="61" t="str">
        <f>IF(ISNUMBER($L$283),FIXED($L$283,IF(ROUND($L$283,0)=$L$283,0,IF(ROUND($L$283,1)=$L$283,1,IF(ROUND($L$283,2)=$L$283,2,IF(ROUND($L$283,3)=$L$283,3,IF(ROUND($L$283,4)=$L$283,4,IF(ROUND($L$283,5)=$L$283,5,IF(ROUND($L$283,6)=$L$283,6,7)))))))),"?")</f>
        <v>420</v>
      </c>
    </row>
    <row r="285" ht="22.3" customHeight="1">
      <c r="B285" s="137" t="inlineStr">
        <is>
          <t>Resultado</t>
        </is>
      </c>
      <c r="C285" s="138" t="str">
        <f>$L$587&amp;" = "&amp;$L$606&amp;" "&amp;$L$588&amp;"   |   Solvente a adicionar = "&amp;$L$610&amp;" "&amp;'06 — Diluição de Soluções'!$D$31</f>
        <v>C₂ = 20 mg/L   |   Solvente a adicionar = 245 mL</v>
      </c>
      <c r="D285" s="138" t="n"/>
      <c r="E285" s="138" t="n"/>
      <c r="F285" s="138" t="n"/>
      <c r="G285" s="138" t="n"/>
      <c r="H285" s="138" t="n"/>
      <c r="K285" s="61" t="inlineStr">
        <is>
          <t>[Ex 3.2] Efr (arredondado)</t>
        </is>
      </c>
      <c r="L285" s="61">
        <f>IFERROR(ROUND($L$274,IF($L$274=0,0,4-INT(LOG10(ABS($L$274))))),"")</f>
        <v>0.7</v>
      </c>
    </row>
    <row r="286" ht="34" customHeight="1">
      <c r="B286" s="64" t="inlineStr">
        <is>
          <t>Explicação simples</t>
        </is>
      </c>
      <c r="C286" s="25" t="str">
        <f>"Utilize "&amp;$L$616&amp;" "&amp;'06 — Diluição de Soluções'!$D$27&amp;" da solução estoque e complete com solvente até atingir o volume final de "&amp;$L$618&amp;" "&amp;'06 — Diluição de Soluções'!$D$31&amp;". A solução final terá concentração de "&amp;$L$614&amp;" "&amp;'06 — Diluição de Soluções'!$D$29&amp;"."&amp;IF($L$559=4," A solução estoque precisa ter "&amp;$L$612&amp;" "&amp;'06 — Diluição de Soluções'!$D$25&amp;".","")&amp;IF(ROUND($L$584,9)=1," Como C₁ = C₂, não há diluição.","")</f>
        <v>Utilize 5 mL da solução estoque e complete com solvente até atingir o volume final de 250 mL. A solução final terá concentração de 20 mg/L.</v>
      </c>
      <c r="D286" s="25" t="n"/>
      <c r="E286" s="25" t="n"/>
      <c r="F286" s="25" t="n"/>
      <c r="G286" s="25" t="n"/>
      <c r="H286" s="25" t="n"/>
      <c r="K286" s="61" t="inlineStr">
        <is>
          <t>[Ex 3.2] Efr (texto)</t>
        </is>
      </c>
      <c r="L286" s="61" t="str">
        <f>IF(ISNUMBER($L$285),FIXED($L$285,IF(ROUND($L$285,0)=$L$285,0,IF(ROUND($L$285,1)=$L$285,1,IF(ROUND($L$285,2)=$L$285,2,IF(ROUND($L$285,3)=$L$285,3,IF(ROUND($L$285,4)=$L$285,4,IF(ROUND($L$285,5)=$L$285,5,IF(ROUND($L$285,6)=$L$285,6,7)))))))),"?")</f>
        <v>0,7</v>
      </c>
    </row>
    <row r="287" ht="32" customHeight="1">
      <c r="B287" s="103" t="inlineStr">
        <is>
          <t>Teste na calculadora</t>
        </is>
      </c>
      <c r="C287" s="104" t="inlineStr">
        <is>
          <t>Na aba 06 — Diluição de Soluções e escolha Exemplo 02 na lista Cenário. Depois troque para Meu cálculo e teste outros valores.</t>
        </is>
      </c>
      <c r="D287" s="104" t="n"/>
      <c r="E287" s="104" t="n"/>
      <c r="F287" s="104" t="n"/>
      <c r="G287" s="104" t="n"/>
      <c r="H287" s="104" t="n"/>
      <c r="K287" s="61" t="inlineStr">
        <is>
          <t>[Ex 3.2] negE (arredondado)</t>
        </is>
      </c>
      <c r="L287" s="61">
        <f>IFERROR(ROUND($L$275,IF($L$275=0,0,4-INT(LOG10(ABS($L$275))))),"")</f>
        <v>-70</v>
      </c>
    </row>
    <row r="288" ht="14" customHeight="1">
      <c r="K288" s="61" t="inlineStr">
        <is>
          <t>[Ex 3.2] negE (texto)</t>
        </is>
      </c>
      <c r="L288" s="61" t="str">
        <f>IF(ISNUMBER($L$287),FIXED($L$287,IF(ROUND($L$287,0)=$L$287,0,IF(ROUND($L$287,1)=$L$287,1,IF(ROUND($L$287,2)=$L$287,2,IF(ROUND($L$287,3)=$L$287,3,IF(ROUND($L$287,4)=$L$287,4,IF(ROUND($L$287,5)=$L$287,5,IF(ROUND($L$287,6)=$L$287,6,7)))))))),"?")</f>
        <v>-70</v>
      </c>
    </row>
    <row r="289">
      <c r="K289" s="61" t="inlineStr">
        <is>
          <t>[Ex 3.3] Le</t>
        </is>
      </c>
      <c r="L289" s="61">
        <f>IFERROR('04 — Eficiência de Tratamento'!$C$81*'04 — Eficiência de Tratamento'!$C$82*0.001,"")</f>
        <v>100</v>
      </c>
    </row>
    <row r="290" ht="32" customHeight="1">
      <c r="B290" s="151" t="inlineStr">
        <is>
          <t>⚗️  CALCULADORA 06 · DOSAGEM DE PRODUTOS QUÍMICOS</t>
        </is>
      </c>
      <c r="C290" s="151" t="n"/>
      <c r="D290" s="151" t="n"/>
      <c r="E290" s="151" t="n"/>
      <c r="F290" s="151" t="n"/>
      <c r="G290" s="151" t="n"/>
      <c r="H290" s="152" t="inlineStr">
        <is>
          <t>▲ Voltar ao índice</t>
        </is>
      </c>
      <c r="K290" s="61" t="inlineStr">
        <is>
          <t>[Ex 3.3] Ls</t>
        </is>
      </c>
      <c r="L290" s="61">
        <f>IFERROR('04 — Eficiência de Tratamento'!$C$83*'04 — Eficiência de Tratamento'!$C$84*0.001,"")</f>
        <v>20</v>
      </c>
    </row>
    <row r="291" ht="8" customHeight="1">
      <c r="K291" s="61" t="inlineStr">
        <is>
          <t>[Ex 3.3] Lr</t>
        </is>
      </c>
      <c r="L291" s="61">
        <f>IFERROR($L$289-$L$290,"")</f>
        <v>80</v>
      </c>
    </row>
    <row r="292" ht="26" customHeight="1">
      <c r="B292" s="153" t="inlineStr">
        <is>
          <t>EXEMPLO 6.1   ·   Dosagem de coagulante líquido</t>
        </is>
      </c>
      <c r="C292" s="153" t="n"/>
      <c r="D292" s="153" t="n"/>
      <c r="E292" s="153" t="n"/>
      <c r="F292" s="153" t="n"/>
      <c r="G292" s="135" t="inlineStr">
        <is>
          <t>▶ Abrir na calculadora</t>
        </is>
      </c>
      <c r="H292" s="135" t="n"/>
      <c r="K292" s="61" t="inlineStr">
        <is>
          <t>[Ex 3.3] E</t>
        </is>
      </c>
      <c r="L292" s="61">
        <f>IFERROR($L$291/$L$289*100,"")</f>
        <v>80</v>
      </c>
    </row>
    <row r="293" ht="32" customHeight="1">
      <c r="B293" s="64" t="inlineStr">
        <is>
          <t>Situação prática</t>
        </is>
      </c>
      <c r="C293" s="25" t="inlineStr">
        <is>
          <t>Uma ETA trata 500 m³/dia e precisa aplicar 4 mg/L de componente ativo. O produto comercial tem 50% de ativo e densidade de 1,2 kg/L.</t>
        </is>
      </c>
      <c r="D293" s="25" t="n"/>
      <c r="E293" s="25" t="n"/>
      <c r="F293" s="25" t="n"/>
      <c r="G293" s="25" t="n"/>
      <c r="H293" s="25" t="n"/>
      <c r="K293" s="61" t="inlineStr">
        <is>
          <t>[Ex 3.3] negE</t>
        </is>
      </c>
      <c r="L293" s="61">
        <f>IFERROR(-$L$292,"")</f>
        <v>-80</v>
      </c>
    </row>
    <row r="294" ht="21" customHeight="1">
      <c r="B294" s="64" t="inlineStr">
        <is>
          <t>Dados utilizados</t>
        </is>
      </c>
      <c r="C294" s="25" t="str">
        <f>"Produto: "&amp;IF('07 — Dosagem Química'!$C$23="","não informado",'07 — Dosagem Química'!$C$23)&amp;"   |   "&amp;"Q = "&amp;$L$631&amp;" "&amp;'07 — Dosagem Química'!$C$25&amp;"   |   "&amp;"D = "&amp;$L$629&amp;" "&amp;"mg/L"&amp;"   |   "&amp;"Ativo = "&amp;$L$635&amp;" "&amp;"%"&amp;"   |   "&amp;"ρ = "&amp;IF('07 — Dosagem Química'!$C$28="","não informada",$L$633&amp;" "&amp;"kg/L")</f>
        <v>Produto: Coagulante líquido   |   Q = 500 m³/dia   |   D = 4 mg/L   |   Ativo = 50 %   |   ρ = 1,2 kg/L</v>
      </c>
      <c r="D294" s="25" t="n"/>
      <c r="E294" s="25" t="n"/>
      <c r="F294" s="25" t="n"/>
      <c r="G294" s="25" t="n"/>
      <c r="H294" s="25" t="n"/>
      <c r="K294" s="61" t="inlineStr">
        <is>
          <t>[Ex 3.3] Ec</t>
        </is>
      </c>
      <c r="L294" s="61">
        <f>IFERROR(('04 — Eficiência de Tratamento'!$C$82-'04 — Eficiência de Tratamento'!$C$84)/'04 — Eficiência de Tratamento'!$C$82*100,"")</f>
        <v>75</v>
      </c>
    </row>
    <row r="295" ht="48.90000000000001" customHeight="1">
      <c r="B295" s="64" t="inlineStr">
        <is>
          <t>Fórmula</t>
        </is>
      </c>
      <c r="C295" s="136" t="inlineStr">
        <is>
          <t>Massa ativa (kg/dia) = Q (m³/dia) × D (mg/L) × 0,001
Massa comercial = Massa ativa ÷ Fração ativa     (50% = 0,50)
Volume (L/dia) = Massa comercial (kg/dia) ÷ Densidade (kg/L)</t>
        </is>
      </c>
      <c r="D295" s="136" t="n"/>
      <c r="E295" s="136" t="n"/>
      <c r="F295" s="136" t="n"/>
      <c r="G295" s="136" t="n"/>
      <c r="H295" s="136" t="n"/>
      <c r="K295" s="61" t="inlineStr">
        <is>
          <t>[Ex 3.3] Ce (arredondado)</t>
        </is>
      </c>
      <c r="L295" s="61">
        <f>IFERROR(ROUND('04 — Eficiência de Tratamento'!$C$82,IF('04 — Eficiência de Tratamento'!$C$82=0,0,4-INT(LOG10(ABS('04 — Eficiência de Tratamento'!$C$82))))),"")</f>
        <v>200</v>
      </c>
    </row>
    <row r="296" ht="47" customHeight="1">
      <c r="B296" s="64" t="inlineStr">
        <is>
          <t>Substituição</t>
        </is>
      </c>
      <c r="C296" s="25" t="str">
        <f>"Massa ativa = "&amp;$L$637&amp;" × "&amp;$L$629&amp;" × 0,001 = "&amp;$L$641&amp;" kg/dia"&amp;CHAR(10)&amp;"Fração ativa = "&amp;$L$635&amp;" ÷ 100 = "&amp;$L$639&amp;"   →   Massa comercial = "&amp;$L$641&amp;" ÷ "&amp;$L$639&amp;" = "&amp;$L$643&amp;" kg/dia"&amp;CHAR(10)&amp;IF('07 — Dosagem Química'!$C$28="","Sem densidade informada: etapa não aplicável (produto sólido ou densidade desconhecida).","Volume = "&amp;$L$643&amp;" ÷ "&amp;$L$633&amp;" = "&amp;$L$645&amp;" L/dia")</f>
        <v>Massa ativa = 500 × 4 × 0,001 = 2 kg/dia
Fração ativa = 50 ÷ 100 = 0,5   →   Massa comercial = 2 ÷ 0,5 = 4 kg/dia
Volume = 4 ÷ 1,2 = 3,3333 L/dia</v>
      </c>
      <c r="D296" s="25" t="n"/>
      <c r="E296" s="25" t="n"/>
      <c r="F296" s="25" t="n"/>
      <c r="G296" s="25" t="n"/>
      <c r="H296" s="25" t="n"/>
      <c r="K296" s="61" t="inlineStr">
        <is>
          <t>[Ex 3.3] Ce (texto)</t>
        </is>
      </c>
      <c r="L296" s="61" t="str">
        <f>IF(ISNUMBER($L$295),FIXED($L$295,IF(ROUND($L$295,0)=$L$295,0,IF(ROUND($L$295,1)=$L$295,1,IF(ROUND($L$295,2)=$L$295,2,IF(ROUND($L$295,3)=$L$295,3,IF(ROUND($L$295,4)=$L$295,4,IF(ROUND($L$295,5)=$L$295,5,IF(ROUND($L$295,6)=$L$295,6,7)))))))),"?")</f>
        <v>200</v>
      </c>
    </row>
    <row r="297" ht="47" customHeight="1">
      <c r="B297" s="64" t="inlineStr">
        <is>
          <t>Resolução</t>
        </is>
      </c>
      <c r="C297" s="25" t="str">
        <f>"1) Massa ativa = "&amp;$L$637&amp;" m³/dia × "&amp;$L$629&amp;" mg/L × 0,001 = "&amp;$L$641&amp;" kg/dia."&amp;CHAR(10)&amp;"2) Massa comercial = "&amp;$L$641&amp;" ÷ "&amp;$L$639&amp;" = "&amp;$L$643&amp;" kg/dia."&amp;CHAR(10)&amp;"3) Volume = "&amp;$L$643&amp;" ÷ "&amp;$L$633&amp;" = "&amp;$L$645&amp;" L/dia."</f>
        <v>1) Massa ativa = 500 m³/dia × 4 mg/L × 0,001 = 2 kg/dia.
2) Massa comercial = 2 ÷ 0,5 = 4 kg/dia.
3) Volume = 4 ÷ 1,2 = 3,3333 L/dia.</v>
      </c>
      <c r="D297" s="25" t="n"/>
      <c r="E297" s="25" t="n"/>
      <c r="F297" s="25" t="n"/>
      <c r="G297" s="25" t="n"/>
      <c r="H297" s="25" t="n"/>
      <c r="K297" s="61" t="inlineStr">
        <is>
          <t>[Ex 3.3] Cs (arredondado)</t>
        </is>
      </c>
      <c r="L297" s="61">
        <f>IFERROR(ROUND('04 — Eficiência de Tratamento'!$C$84,IF('04 — Eficiência de Tratamento'!$C$84=0,0,4-INT(LOG10(ABS('04 — Eficiência de Tratamento'!$C$84))))),"")</f>
        <v>50</v>
      </c>
    </row>
    <row r="298" ht="22.3" customHeight="1">
      <c r="B298" s="137" t="inlineStr">
        <is>
          <t>Resultado</t>
        </is>
      </c>
      <c r="C298" s="138" t="str">
        <f>"Ativo = "&amp;$L$641&amp;" kg/dia   |   Produto comercial = "&amp;$L$643&amp;" kg/dia   |   Volume ≈ "&amp;$L$645&amp;" L/dia"</f>
        <v>Ativo = 2 kg/dia   |   Produto comercial = 4 kg/dia   |   Volume ≈ 3,3333 L/dia</v>
      </c>
      <c r="D298" s="138" t="n"/>
      <c r="E298" s="138" t="n"/>
      <c r="F298" s="138" t="n"/>
      <c r="G298" s="138" t="n"/>
      <c r="H298" s="138" t="n"/>
      <c r="K298" s="61" t="inlineStr">
        <is>
          <t>[Ex 3.3] Cs (texto)</t>
        </is>
      </c>
      <c r="L298" s="61" t="str">
        <f>IF(ISNUMBER($L$297),FIXED($L$297,IF(ROUND($L$297,0)=$L$297,0,IF(ROUND($L$297,1)=$L$297,1,IF(ROUND($L$297,2)=$L$297,2,IF(ROUND($L$297,3)=$L$297,3,IF(ROUND($L$297,4)=$L$297,4,IF(ROUND($L$297,5)=$L$297,5,IF(ROUND($L$297,6)=$L$297,6,7)))))))),"?")</f>
        <v>50</v>
      </c>
    </row>
    <row r="299" ht="34" customHeight="1">
      <c r="B299" s="64" t="inlineStr">
        <is>
          <t>Explicação simples</t>
        </is>
      </c>
      <c r="C299" s="25" t="str">
        <f>"Para dosar "&amp;$L$629&amp;" mg/L de componente ativo em "&amp;$L$637&amp;" m³/dia são necessários "&amp;$L$641&amp;" kg/dia de ativo, que correspondem a "&amp;$L$643&amp;" kg/dia do produto comercial"&amp;IF('07 — Dosagem Química'!$C$28="",". Para converter em volume, informe a densidade (somente produto líquido).",", ou cerca de "&amp;$L$645&amp;" L/dia de produto líquido.")&amp;IF('07 — Dosagem Química'!$C$27&lt;1," Atenção: você informou "&amp;$L$635&amp;"% de ativo. Se o produto tem 50%, digite 50 (e não 0,5).","")&amp;IF(AND(ISNUMBER('07 — Dosagem Química'!$C$28),OR('07 — Dosagem Química'!$C$28&lt;0.8,'07 — Dosagem Química'!$C$28&gt;2))," Confira a densidade: o valor está fora da faixa comum de produtos líquidos (0,8 a 2,0 kg/L).","")</f>
        <v>Para dosar 4 mg/L de componente ativo em 500 m³/dia são necessários 2 kg/dia de ativo, que correspondem a 4 kg/dia do produto comercial, ou cerca de 3,3333 L/dia de produto líquido.</v>
      </c>
      <c r="D299" s="25" t="n"/>
      <c r="E299" s="25" t="n"/>
      <c r="F299" s="25" t="n"/>
      <c r="G299" s="25" t="n"/>
      <c r="H299" s="25" t="n"/>
      <c r="K299" s="61" t="inlineStr">
        <is>
          <t>[Ex 3.3] Qe (arredondado)</t>
        </is>
      </c>
      <c r="L299" s="61">
        <f>IFERROR(ROUND('04 — Eficiência de Tratamento'!$C$81,IF('04 — Eficiência de Tratamento'!$C$81=0,0,4-INT(LOG10(ABS('04 — Eficiência de Tratamento'!$C$81))))),"")</f>
        <v>500</v>
      </c>
    </row>
    <row r="300" ht="32" customHeight="1">
      <c r="B300" s="103" t="inlineStr">
        <is>
          <t>Teste na calculadora</t>
        </is>
      </c>
      <c r="C300" s="104" t="inlineStr">
        <is>
          <t>Na aba 07 — Dosagem Química e escolha Exemplo 01 na lista Cenário. Depois troque para Meu cálculo e teste outros valores.</t>
        </is>
      </c>
      <c r="D300" s="104" t="n"/>
      <c r="E300" s="104" t="n"/>
      <c r="F300" s="104" t="n"/>
      <c r="G300" s="104" t="n"/>
      <c r="H300" s="104" t="n"/>
      <c r="K300" s="61" t="inlineStr">
        <is>
          <t>[Ex 3.3] Qe (texto)</t>
        </is>
      </c>
      <c r="L300" s="61" t="str">
        <f>IF(ISNUMBER($L$299),FIXED($L$299,IF(ROUND($L$299,0)=$L$299,0,IF(ROUND($L$299,1)=$L$299,1,IF(ROUND($L$299,2)=$L$299,2,IF(ROUND($L$299,3)=$L$299,3,IF(ROUND($L$299,4)=$L$299,4,IF(ROUND($L$299,5)=$L$299,5,IF(ROUND($L$299,6)=$L$299,6,7)))))))),"?")</f>
        <v>500</v>
      </c>
    </row>
    <row r="301" ht="14" customHeight="1">
      <c r="K301" s="61" t="inlineStr">
        <is>
          <t>[Ex 3.3] Qs (arredondado)</t>
        </is>
      </c>
      <c r="L301" s="61">
        <f>IFERROR(ROUND('04 — Eficiência de Tratamento'!$C$83,IF('04 — Eficiência de Tratamento'!$C$83=0,0,4-INT(LOG10(ABS('04 — Eficiência de Tratamento'!$C$83))))),"")</f>
        <v>400</v>
      </c>
    </row>
    <row r="302" ht="26" customHeight="1">
      <c r="B302" s="153" t="inlineStr">
        <is>
          <t>EXEMPLO 6.2   ·   Desinfecção com hipoclorito de sódio</t>
        </is>
      </c>
      <c r="C302" s="153" t="n"/>
      <c r="D302" s="153" t="n"/>
      <c r="E302" s="153" t="n"/>
      <c r="F302" s="153" t="n"/>
      <c r="G302" s="135" t="inlineStr">
        <is>
          <t>▶ Abrir na calculadora</t>
        </is>
      </c>
      <c r="H302" s="135" t="n"/>
      <c r="K302" s="61" t="inlineStr">
        <is>
          <t>[Ex 3.3] Qs (texto)</t>
        </is>
      </c>
      <c r="L302" s="61" t="str">
        <f>IF(ISNUMBER($L$301),FIXED($L$301,IF(ROUND($L$301,0)=$L$301,0,IF(ROUND($L$301,1)=$L$301,1,IF(ROUND($L$301,2)=$L$301,2,IF(ROUND($L$301,3)=$L$301,3,IF(ROUND($L$301,4)=$L$301,4,IF(ROUND($L$301,5)=$L$301,5,IF(ROUND($L$301,6)=$L$301,6,7)))))))),"?")</f>
        <v>400</v>
      </c>
    </row>
    <row r="303" ht="32" customHeight="1">
      <c r="B303" s="64" t="inlineStr">
        <is>
          <t>Situação prática</t>
        </is>
      </c>
      <c r="C303" s="25" t="inlineStr">
        <is>
          <t>Uma estação desinfeta 25 L/s de água com 2 mg/L de cloro ativo, usando hipoclorito de sódio com 12% de cloro ativo e densidade de 1,20 kg/L.</t>
        </is>
      </c>
      <c r="D303" s="25" t="n"/>
      <c r="E303" s="25" t="n"/>
      <c r="F303" s="25" t="n"/>
      <c r="G303" s="25" t="n"/>
      <c r="H303" s="25" t="n"/>
      <c r="K303" s="61" t="inlineStr">
        <is>
          <t>[Ex 3.3] E (arredondado)</t>
        </is>
      </c>
      <c r="L303" s="61">
        <f>IFERROR(ROUND($L$292,IF($L$292=0,0,4-INT(LOG10(ABS($L$292))))),"")</f>
        <v>80</v>
      </c>
    </row>
    <row r="304" ht="21" customHeight="1">
      <c r="B304" s="64" t="inlineStr">
        <is>
          <t>Dados utilizados</t>
        </is>
      </c>
      <c r="C304" s="25" t="str">
        <f>"Produto: "&amp;IF('07 — Dosagem Química'!$D$23="","não informado",'07 — Dosagem Química'!$D$23)&amp;"   |   "&amp;"Q = "&amp;$L$658&amp;" "&amp;'07 — Dosagem Química'!$D$25&amp;"   |   "&amp;"D = "&amp;$L$656&amp;" "&amp;"mg/L"&amp;"   |   "&amp;"Ativo = "&amp;$L$662&amp;" "&amp;"%"&amp;"   |   "&amp;"ρ = "&amp;IF('07 — Dosagem Química'!$D$28="","não informada",$L$660&amp;" "&amp;"kg/L")</f>
        <v>Produto: Hipoclorito de sódio   |   Q = 25 L/s   |   D = 2 mg/L   |   Ativo = 12 %   |   ρ = 1,2 kg/L</v>
      </c>
      <c r="D304" s="25" t="n"/>
      <c r="E304" s="25" t="n"/>
      <c r="F304" s="25" t="n"/>
      <c r="G304" s="25" t="n"/>
      <c r="H304" s="25" t="n"/>
      <c r="K304" s="61" t="inlineStr">
        <is>
          <t>[Ex 3.3] E (texto)</t>
        </is>
      </c>
      <c r="L304" s="61" t="str">
        <f>IF(ISNUMBER($L$303),FIXED($L$303,IF(ROUND($L$303,0)=$L$303,0,IF(ROUND($L$303,1)=$L$303,1,IF(ROUND($L$303,2)=$L$303,2,IF(ROUND($L$303,3)=$L$303,3,IF(ROUND($L$303,4)=$L$303,4,IF(ROUND($L$303,5)=$L$303,5,IF(ROUND($L$303,6)=$L$303,6,7)))))))),"?")</f>
        <v>80</v>
      </c>
    </row>
    <row r="305" ht="48.90000000000001" customHeight="1">
      <c r="B305" s="64" t="inlineStr">
        <is>
          <t>Fórmula</t>
        </is>
      </c>
      <c r="C305" s="136" t="inlineStr">
        <is>
          <t>Massa ativa (kg/dia) = Q (m³/dia) × D (mg/L) × 0,001
Massa comercial = Massa ativa ÷ Fração ativa     (50% = 0,50)
Volume (L/dia) = Massa comercial (kg/dia) ÷ Densidade (kg/L)</t>
        </is>
      </c>
      <c r="D305" s="136" t="n"/>
      <c r="E305" s="136" t="n"/>
      <c r="F305" s="136" t="n"/>
      <c r="G305" s="136" t="n"/>
      <c r="H305" s="136" t="n"/>
      <c r="K305" s="61" t="inlineStr">
        <is>
          <t>[Ex 3.3] Le (arredondado)</t>
        </is>
      </c>
      <c r="L305" s="61">
        <f>IFERROR(ROUND($L$289,IF($L$289=0,0,4-INT(LOG10(ABS($L$289))))),"")</f>
        <v>100</v>
      </c>
    </row>
    <row r="306" ht="47" customHeight="1">
      <c r="B306" s="64" t="inlineStr">
        <is>
          <t>Substituição</t>
        </is>
      </c>
      <c r="C306" s="25" t="str">
        <f>"Massa ativa = "&amp;$L$664&amp;" × "&amp;$L$656&amp;" × 0,001 = "&amp;$L$668&amp;" kg/dia"&amp;CHAR(10)&amp;"Fração ativa = "&amp;$L$662&amp;" ÷ 100 = "&amp;$L$666&amp;"   →   Massa comercial = "&amp;$L$668&amp;" ÷ "&amp;$L$666&amp;" = "&amp;$L$670&amp;" kg/dia"&amp;CHAR(10)&amp;IF('07 — Dosagem Química'!$D$28="","Sem densidade informada: etapa não aplicável (produto sólido ou densidade desconhecida).","Volume = "&amp;$L$670&amp;" ÷ "&amp;$L$660&amp;" = "&amp;$L$672&amp;" L/dia")</f>
        <v>Massa ativa = 2.160 × 2 × 0,001 = 4,32 kg/dia
Fração ativa = 12 ÷ 100 = 0,12   →   Massa comercial = 4,32 ÷ 0,12 = 36 kg/dia
Volume = 36 ÷ 1,2 = 30 L/dia</v>
      </c>
      <c r="D306" s="25" t="n"/>
      <c r="E306" s="25" t="n"/>
      <c r="F306" s="25" t="n"/>
      <c r="G306" s="25" t="n"/>
      <c r="H306" s="25" t="n"/>
      <c r="K306" s="61" t="inlineStr">
        <is>
          <t>[Ex 3.3] Le (texto)</t>
        </is>
      </c>
      <c r="L306" s="61" t="str">
        <f>IF(ISNUMBER($L$305),FIXED($L$305,IF(ROUND($L$305,0)=$L$305,0,IF(ROUND($L$305,1)=$L$305,1,IF(ROUND($L$305,2)=$L$305,2,IF(ROUND($L$305,3)=$L$305,3,IF(ROUND($L$305,4)=$L$305,4,IF(ROUND($L$305,5)=$L$305,5,IF(ROUND($L$305,6)=$L$305,6,7)))))))),"?")</f>
        <v>100</v>
      </c>
    </row>
    <row r="307" ht="47" customHeight="1">
      <c r="B307" s="64" t="inlineStr">
        <is>
          <t>Resolução</t>
        </is>
      </c>
      <c r="C307" s="25" t="str">
        <f>"1) Massa ativa = "&amp;$L$664&amp;" m³/dia × "&amp;$L$656&amp;" mg/L × 0,001 = "&amp;$L$668&amp;" kg/dia."&amp;CHAR(10)&amp;"2) Massa comercial = "&amp;$L$668&amp;" ÷ "&amp;$L$666&amp;" = "&amp;$L$670&amp;" kg/dia."&amp;CHAR(10)&amp;"3) Volume = "&amp;$L$670&amp;" ÷ "&amp;$L$660&amp;" = "&amp;$L$672&amp;" L/dia."</f>
        <v>1) Massa ativa = 2.160 m³/dia × 2 mg/L × 0,001 = 4,32 kg/dia.
2) Massa comercial = 4,32 ÷ 0,12 = 36 kg/dia.
3) Volume = 36 ÷ 1,2 = 30 L/dia.</v>
      </c>
      <c r="D307" s="25" t="n"/>
      <c r="E307" s="25" t="n"/>
      <c r="F307" s="25" t="n"/>
      <c r="G307" s="25" t="n"/>
      <c r="H307" s="25" t="n"/>
      <c r="K307" s="61" t="inlineStr">
        <is>
          <t>[Ex 3.3] Ls (arredondado)</t>
        </is>
      </c>
      <c r="L307" s="61">
        <f>IFERROR(ROUND($L$290,IF($L$290=0,0,4-INT(LOG10(ABS($L$290))))),"")</f>
        <v>20</v>
      </c>
    </row>
    <row r="308" ht="22.3" customHeight="1">
      <c r="B308" s="137" t="inlineStr">
        <is>
          <t>Resultado</t>
        </is>
      </c>
      <c r="C308" s="138" t="str">
        <f>"Ativo = "&amp;$L$668&amp;" kg/dia   |   Produto comercial = "&amp;$L$670&amp;" kg/dia   |   Volume ≈ "&amp;$L$672&amp;" L/dia"</f>
        <v>Ativo = 4,32 kg/dia   |   Produto comercial = 36 kg/dia   |   Volume ≈ 30 L/dia</v>
      </c>
      <c r="D308" s="138" t="n"/>
      <c r="E308" s="138" t="n"/>
      <c r="F308" s="138" t="n"/>
      <c r="G308" s="138" t="n"/>
      <c r="H308" s="138" t="n"/>
      <c r="K308" s="61" t="inlineStr">
        <is>
          <t>[Ex 3.3] Ls (texto)</t>
        </is>
      </c>
      <c r="L308" s="61" t="str">
        <f>IF(ISNUMBER($L$307),FIXED($L$307,IF(ROUND($L$307,0)=$L$307,0,IF(ROUND($L$307,1)=$L$307,1,IF(ROUND($L$307,2)=$L$307,2,IF(ROUND($L$307,3)=$L$307,3,IF(ROUND($L$307,4)=$L$307,4,IF(ROUND($L$307,5)=$L$307,5,IF(ROUND($L$307,6)=$L$307,6,7)))))))),"?")</f>
        <v>20</v>
      </c>
    </row>
    <row r="309" ht="34" customHeight="1">
      <c r="B309" s="64" t="inlineStr">
        <is>
          <t>Explicação simples</t>
        </is>
      </c>
      <c r="C309" s="25" t="str">
        <f>"Para dosar "&amp;$L$656&amp;" mg/L de componente ativo em "&amp;$L$664&amp;" m³/dia são necessários "&amp;$L$668&amp;" kg/dia de ativo, que correspondem a "&amp;$L$670&amp;" kg/dia do produto comercial"&amp;IF('07 — Dosagem Química'!$D$28="",". Para converter em volume, informe a densidade (somente produto líquido).",", ou cerca de "&amp;$L$672&amp;" L/dia de produto líquido.")&amp;IF('07 — Dosagem Química'!$D$27&lt;1," Atenção: você informou "&amp;$L$662&amp;"% de ativo. Se o produto tem 50%, digite 50 (e não 0,5).","")&amp;IF(AND(ISNUMBER('07 — Dosagem Química'!$D$28),OR('07 — Dosagem Química'!$D$28&lt;0.8,'07 — Dosagem Química'!$D$28&gt;2))," Confira a densidade: o valor está fora da faixa comum de produtos líquidos (0,8 a 2,0 kg/L).","")</f>
        <v>Para dosar 2 mg/L de componente ativo em 2.160 m³/dia são necessários 4,32 kg/dia de ativo, que correspondem a 36 kg/dia do produto comercial, ou cerca de 30 L/dia de produto líquido.</v>
      </c>
      <c r="D309" s="25" t="n"/>
      <c r="E309" s="25" t="n"/>
      <c r="F309" s="25" t="n"/>
      <c r="G309" s="25" t="n"/>
      <c r="H309" s="25" t="n"/>
      <c r="K309" s="61" t="inlineStr">
        <is>
          <t>[Ex 3.3] Ec (arredondado)</t>
        </is>
      </c>
      <c r="L309" s="61">
        <f>IFERROR(ROUND($L$294,IF($L$294=0,0,4-INT(LOG10(ABS($L$294))))),"")</f>
        <v>75</v>
      </c>
    </row>
    <row r="310" ht="32" customHeight="1">
      <c r="B310" s="103" t="inlineStr">
        <is>
          <t>Teste na calculadora</t>
        </is>
      </c>
      <c r="C310" s="104" t="inlineStr">
        <is>
          <t>Na aba 07 — Dosagem Química e escolha Exemplo 02 na lista Cenário. Depois troque para Meu cálculo e teste outros valores.</t>
        </is>
      </c>
      <c r="D310" s="104" t="n"/>
      <c r="E310" s="104" t="n"/>
      <c r="F310" s="104" t="n"/>
      <c r="G310" s="104" t="n"/>
      <c r="H310" s="104" t="n"/>
      <c r="K310" s="61" t="inlineStr">
        <is>
          <t>[Ex 3.3] Ec (texto)</t>
        </is>
      </c>
      <c r="L310" s="61" t="str">
        <f>IF(ISNUMBER($L$309),FIXED($L$309,IF(ROUND($L$309,0)=$L$309,0,IF(ROUND($L$309,1)=$L$309,1,IF(ROUND($L$309,2)=$L$309,2,IF(ROUND($L$309,3)=$L$309,3,IF(ROUND($L$309,4)=$L$309,4,IF(ROUND($L$309,5)=$L$309,5,IF(ROUND($L$309,6)=$L$309,6,7)))))))),"?")</f>
        <v>75</v>
      </c>
    </row>
    <row r="311" ht="14" customHeight="1">
      <c r="K311" s="61" t="inlineStr">
        <is>
          <t>[Ex 3.3] negE (arredondado)</t>
        </is>
      </c>
      <c r="L311" s="61">
        <f>IFERROR(ROUND($L$293,IF($L$293=0,0,4-INT(LOG10(ABS($L$293))))),"")</f>
        <v>-80</v>
      </c>
    </row>
    <row r="312">
      <c r="K312" s="61" t="inlineStr">
        <is>
          <t>[Ex 3.3] negE (texto)</t>
        </is>
      </c>
      <c r="L312" s="61" t="str">
        <f>IF(ISNUMBER($L$311),FIXED($L$311,IF(ROUND($L$311,0)=$L$311,0,IF(ROUND($L$311,1)=$L$311,1,IF(ROUND($L$311,2)=$L$311,2,IF(ROUND($L$311,3)=$L$311,3,IF(ROUND($L$311,4)=$L$311,4,IF(ROUND($L$311,5)=$L$311,5,IF(ROUND($L$311,6)=$L$311,6,7)))))))),"?")</f>
        <v>-80</v>
      </c>
    </row>
    <row r="313">
      <c r="K313" s="61" t="inlineStr">
        <is>
          <t>[Ex 3.4] Le</t>
        </is>
      </c>
      <c r="L313" s="61">
        <f>IFERROR('04 — Eficiência de Tratamento'!$D$81*'04 — Eficiência de Tratamento'!$D$82*0.001,"")</f>
        <v>300</v>
      </c>
    </row>
    <row r="314">
      <c r="K314" s="61" t="inlineStr">
        <is>
          <t>[Ex 3.4] Ls</t>
        </is>
      </c>
      <c r="L314" s="61">
        <f>IFERROR('04 — Eficiência de Tratamento'!$D$83*'04 — Eficiência de Tratamento'!$D$84*0.001,"")</f>
        <v>28.5</v>
      </c>
    </row>
    <row r="315">
      <c r="K315" s="61" t="inlineStr">
        <is>
          <t>[Ex 3.4] Lr</t>
        </is>
      </c>
      <c r="L315" s="61">
        <f>IFERROR($L$313-$L$314,"")</f>
        <v>271.5</v>
      </c>
    </row>
    <row r="316">
      <c r="K316" s="61" t="inlineStr">
        <is>
          <t>[Ex 3.4] E</t>
        </is>
      </c>
      <c r="L316" s="61">
        <f>IFERROR($L$315/$L$313*100,"")</f>
        <v>90.5</v>
      </c>
    </row>
    <row r="317">
      <c r="K317" s="61" t="inlineStr">
        <is>
          <t>[Ex 3.4] negE</t>
        </is>
      </c>
      <c r="L317" s="61">
        <f>IFERROR(-$L$316,"")</f>
        <v>-90.5</v>
      </c>
    </row>
    <row r="318">
      <c r="K318" s="61" t="inlineStr">
        <is>
          <t>[Ex 3.4] Ec</t>
        </is>
      </c>
      <c r="L318" s="61">
        <f>IFERROR(('04 — Eficiência de Tratamento'!$D$82-'04 — Eficiência de Tratamento'!$D$84)/'04 — Eficiência de Tratamento'!$D$82*100,"")</f>
        <v>90</v>
      </c>
    </row>
    <row r="319">
      <c r="K319" s="61" t="inlineStr">
        <is>
          <t>[Ex 3.4] Ce (arredondado)</t>
        </is>
      </c>
      <c r="L319" s="61">
        <f>IFERROR(ROUND('04 — Eficiência de Tratamento'!$D$82,IF('04 — Eficiência de Tratamento'!$D$82=0,0,4-INT(LOG10(ABS('04 — Eficiência de Tratamento'!$D$82))))),"")</f>
        <v>300</v>
      </c>
    </row>
    <row r="320">
      <c r="K320" s="61" t="inlineStr">
        <is>
          <t>[Ex 3.4] Ce (texto)</t>
        </is>
      </c>
      <c r="L320" s="61" t="str">
        <f>IF(ISNUMBER($L$319),FIXED($L$319,IF(ROUND($L$319,0)=$L$319,0,IF(ROUND($L$319,1)=$L$319,1,IF(ROUND($L$319,2)=$L$319,2,IF(ROUND($L$319,3)=$L$319,3,IF(ROUND($L$319,4)=$L$319,4,IF(ROUND($L$319,5)=$L$319,5,IF(ROUND($L$319,6)=$L$319,6,7)))))))),"?")</f>
        <v>300</v>
      </c>
    </row>
    <row r="321">
      <c r="K321" s="61" t="inlineStr">
        <is>
          <t>[Ex 3.4] Cs (arredondado)</t>
        </is>
      </c>
      <c r="L321" s="61">
        <f>IFERROR(ROUND('04 — Eficiência de Tratamento'!$D$84,IF('04 — Eficiência de Tratamento'!$D$84=0,0,4-INT(LOG10(ABS('04 — Eficiência de Tratamento'!$D$84))))),"")</f>
        <v>30</v>
      </c>
    </row>
    <row r="322">
      <c r="K322" s="61" t="inlineStr">
        <is>
          <t>[Ex 3.4] Cs (texto)</t>
        </is>
      </c>
      <c r="L322" s="61" t="str">
        <f>IF(ISNUMBER($L$321),FIXED($L$321,IF(ROUND($L$321,0)=$L$321,0,IF(ROUND($L$321,1)=$L$321,1,IF(ROUND($L$321,2)=$L$321,2,IF(ROUND($L$321,3)=$L$321,3,IF(ROUND($L$321,4)=$L$321,4,IF(ROUND($L$321,5)=$L$321,5,IF(ROUND($L$321,6)=$L$321,6,7)))))))),"?")</f>
        <v>30</v>
      </c>
    </row>
    <row r="323">
      <c r="K323" s="61" t="inlineStr">
        <is>
          <t>[Ex 3.4] Qe (arredondado)</t>
        </is>
      </c>
      <c r="L323" s="61">
        <f>IFERROR(ROUND('04 — Eficiência de Tratamento'!$D$81,IF('04 — Eficiência de Tratamento'!$D$81=0,0,4-INT(LOG10(ABS('04 — Eficiência de Tratamento'!$D$81))))),"")</f>
        <v>1000</v>
      </c>
    </row>
    <row r="324">
      <c r="K324" s="61" t="inlineStr">
        <is>
          <t>[Ex 3.4] Qe (texto)</t>
        </is>
      </c>
      <c r="L324" s="61" t="str">
        <f>IF(ISNUMBER($L$323),FIXED($L$323,IF(ROUND($L$323,0)=$L$323,0,IF(ROUND($L$323,1)=$L$323,1,IF(ROUND($L$323,2)=$L$323,2,IF(ROUND($L$323,3)=$L$323,3,IF(ROUND($L$323,4)=$L$323,4,IF(ROUND($L$323,5)=$L$323,5,IF(ROUND($L$323,6)=$L$323,6,7)))))))),"?")</f>
        <v>1.000</v>
      </c>
    </row>
    <row r="325">
      <c r="K325" s="61" t="inlineStr">
        <is>
          <t>[Ex 3.4] Qs (arredondado)</t>
        </is>
      </c>
      <c r="L325" s="61">
        <f>IFERROR(ROUND('04 — Eficiência de Tratamento'!$D$83,IF('04 — Eficiência de Tratamento'!$D$83=0,0,4-INT(LOG10(ABS('04 — Eficiência de Tratamento'!$D$83))))),"")</f>
        <v>950</v>
      </c>
    </row>
    <row r="326">
      <c r="K326" s="61" t="inlineStr">
        <is>
          <t>[Ex 3.4] Qs (texto)</t>
        </is>
      </c>
      <c r="L326" s="61" t="str">
        <f>IF(ISNUMBER($L$325),FIXED($L$325,IF(ROUND($L$325,0)=$L$325,0,IF(ROUND($L$325,1)=$L$325,1,IF(ROUND($L$325,2)=$L$325,2,IF(ROUND($L$325,3)=$L$325,3,IF(ROUND($L$325,4)=$L$325,4,IF(ROUND($L$325,5)=$L$325,5,IF(ROUND($L$325,6)=$L$325,6,7)))))))),"?")</f>
        <v>950</v>
      </c>
    </row>
    <row r="327">
      <c r="K327" s="61" t="inlineStr">
        <is>
          <t>[Ex 3.4] E (arredondado)</t>
        </is>
      </c>
      <c r="L327" s="61">
        <f>IFERROR(ROUND($L$316,IF($L$316=0,0,4-INT(LOG10(ABS($L$316))))),"")</f>
        <v>90.5</v>
      </c>
    </row>
    <row r="328">
      <c r="K328" s="61" t="inlineStr">
        <is>
          <t>[Ex 3.4] E (texto)</t>
        </is>
      </c>
      <c r="L328" s="61" t="str">
        <f>IF(ISNUMBER($L$327),FIXED($L$327,IF(ROUND($L$327,0)=$L$327,0,IF(ROUND($L$327,1)=$L$327,1,IF(ROUND($L$327,2)=$L$327,2,IF(ROUND($L$327,3)=$L$327,3,IF(ROUND($L$327,4)=$L$327,4,IF(ROUND($L$327,5)=$L$327,5,IF(ROUND($L$327,6)=$L$327,6,7)))))))),"?")</f>
        <v>90,5</v>
      </c>
    </row>
    <row r="329">
      <c r="K329" s="61" t="inlineStr">
        <is>
          <t>[Ex 3.4] Le (arredondado)</t>
        </is>
      </c>
      <c r="L329" s="61">
        <f>IFERROR(ROUND($L$313,IF($L$313=0,0,4-INT(LOG10(ABS($L$313))))),"")</f>
        <v>300</v>
      </c>
    </row>
    <row r="330">
      <c r="K330" s="61" t="inlineStr">
        <is>
          <t>[Ex 3.4] Le (texto)</t>
        </is>
      </c>
      <c r="L330" s="61" t="str">
        <f>IF(ISNUMBER($L$329),FIXED($L$329,IF(ROUND($L$329,0)=$L$329,0,IF(ROUND($L$329,1)=$L$329,1,IF(ROUND($L$329,2)=$L$329,2,IF(ROUND($L$329,3)=$L$329,3,IF(ROUND($L$329,4)=$L$329,4,IF(ROUND($L$329,5)=$L$329,5,IF(ROUND($L$329,6)=$L$329,6,7)))))))),"?")</f>
        <v>300</v>
      </c>
    </row>
    <row r="331">
      <c r="K331" s="61" t="inlineStr">
        <is>
          <t>[Ex 3.4] Ls (arredondado)</t>
        </is>
      </c>
      <c r="L331" s="61">
        <f>IFERROR(ROUND($L$314,IF($L$314=0,0,4-INT(LOG10(ABS($L$314))))),"")</f>
        <v>28.5</v>
      </c>
    </row>
    <row r="332">
      <c r="K332" s="61" t="inlineStr">
        <is>
          <t>[Ex 3.4] Ls (texto)</t>
        </is>
      </c>
      <c r="L332" s="61" t="str">
        <f>IF(ISNUMBER($L$331),FIXED($L$331,IF(ROUND($L$331,0)=$L$331,0,IF(ROUND($L$331,1)=$L$331,1,IF(ROUND($L$331,2)=$L$331,2,IF(ROUND($L$331,3)=$L$331,3,IF(ROUND($L$331,4)=$L$331,4,IF(ROUND($L$331,5)=$L$331,5,IF(ROUND($L$331,6)=$L$331,6,7)))))))),"?")</f>
        <v>28,5</v>
      </c>
    </row>
    <row r="333">
      <c r="K333" s="61" t="inlineStr">
        <is>
          <t>[Ex 3.4] Ec (arredondado)</t>
        </is>
      </c>
      <c r="L333" s="61">
        <f>IFERROR(ROUND($L$318,IF($L$318=0,0,4-INT(LOG10(ABS($L$318))))),"")</f>
        <v>90</v>
      </c>
    </row>
    <row r="334">
      <c r="K334" s="61" t="inlineStr">
        <is>
          <t>[Ex 3.4] Ec (texto)</t>
        </is>
      </c>
      <c r="L334" s="61" t="str">
        <f>IF(ISNUMBER($L$333),FIXED($L$333,IF(ROUND($L$333,0)=$L$333,0,IF(ROUND($L$333,1)=$L$333,1,IF(ROUND($L$333,2)=$L$333,2,IF(ROUND($L$333,3)=$L$333,3,IF(ROUND($L$333,4)=$L$333,4,IF(ROUND($L$333,5)=$L$333,5,IF(ROUND($L$333,6)=$L$333,6,7)))))))),"?")</f>
        <v>90</v>
      </c>
    </row>
    <row r="335">
      <c r="K335" s="61" t="inlineStr">
        <is>
          <t>[Ex 3.4] negE (arredondado)</t>
        </is>
      </c>
      <c r="L335" s="61">
        <f>IFERROR(ROUND($L$317,IF($L$317=0,0,4-INT(LOG10(ABS($L$317))))),"")</f>
        <v>-90.5</v>
      </c>
    </row>
    <row r="336">
      <c r="K336" s="61" t="inlineStr">
        <is>
          <t>[Ex 3.4] negE (texto)</t>
        </is>
      </c>
      <c r="L336" s="61" t="str">
        <f>IF(ISNUMBER($L$335),FIXED($L$335,IF(ROUND($L$335,0)=$L$335,0,IF(ROUND($L$335,1)=$L$335,1,IF(ROUND($L$335,2)=$L$335,2,IF(ROUND($L$335,3)=$L$335,3,IF(ROUND($L$335,4)=$L$335,4,IF(ROUND($L$335,5)=$L$335,5,IF(ROUND($L$335,6)=$L$335,6,7)))))))),"?")</f>
        <v>-90,5</v>
      </c>
    </row>
    <row r="337">
      <c r="K337" s="61" t="inlineStr">
        <is>
          <t>[Ex 4.1] Qt</t>
        </is>
      </c>
      <c r="L337" s="61">
        <f>IFERROR('05 — Balanço de Massa'!$C$29+'05 — Balanço de Massa'!$C$31,"")</f>
        <v>200</v>
      </c>
    </row>
    <row r="338">
      <c r="K338" s="61" t="inlineStr">
        <is>
          <t>[Ex 4.1] QC</t>
        </is>
      </c>
      <c r="L338" s="61">
        <f>IFERROR('05 — Balanço de Massa'!$C$29*'05 — Balanço de Massa'!$C$30+'05 — Balanço de Massa'!$C$31*'05 — Balanço de Massa'!$C$32,"")</f>
        <v>28000</v>
      </c>
    </row>
    <row r="339">
      <c r="K339" s="61" t="inlineStr">
        <is>
          <t>[Ex 4.1] Cf</t>
        </is>
      </c>
      <c r="L339" s="61">
        <f>IFERROR($L$338/$L$337,"")</f>
        <v>140</v>
      </c>
    </row>
    <row r="340">
      <c r="K340" s="61" t="inlineStr">
        <is>
          <t>[Ex 4.1] L1</t>
        </is>
      </c>
      <c r="L340" s="61">
        <f>IFERROR('05 — Balanço de Massa'!$C$29*'05 — Balanço de Massa'!$C$30*0.001,"")</f>
        <v>24</v>
      </c>
    </row>
    <row r="341">
      <c r="K341" s="61" t="inlineStr">
        <is>
          <t>[Ex 4.1] L2</t>
        </is>
      </c>
      <c r="L341" s="61">
        <f>IFERROR('05 — Balanço de Massa'!$C$31*'05 — Balanço de Massa'!$C$32*0.001,"")</f>
        <v>4</v>
      </c>
    </row>
    <row r="342">
      <c r="K342" s="61" t="inlineStr">
        <is>
          <t>[Ex 4.1] Lt</t>
        </is>
      </c>
      <c r="L342" s="61">
        <f>IFERROR($L$340+$L$341,"")</f>
        <v>28</v>
      </c>
    </row>
    <row r="343">
      <c r="K343" s="61" t="inlineStr">
        <is>
          <t>[Ex 4.1] Cmin</t>
        </is>
      </c>
      <c r="L343" s="61">
        <f>IFERROR(MIN('05 — Balanço de Massa'!$C$30,'05 — Balanço de Massa'!$C$32),"")</f>
        <v>50</v>
      </c>
    </row>
    <row r="344">
      <c r="K344" s="61" t="inlineStr">
        <is>
          <t>[Ex 4.1] Cmax</t>
        </is>
      </c>
      <c r="L344" s="61">
        <f>IFERROR(MAX('05 — Balanço de Massa'!$C$30,'05 — Balanço de Massa'!$C$32),"")</f>
        <v>200</v>
      </c>
    </row>
    <row r="345">
      <c r="K345" s="61" t="inlineStr">
        <is>
          <t>[Ex 4.1] C1 (arredondado)</t>
        </is>
      </c>
      <c r="L345" s="61">
        <f>IFERROR(ROUND('05 — Balanço de Massa'!$C$30,IF('05 — Balanço de Massa'!$C$30=0,0,4-INT(LOG10(ABS('05 — Balanço de Massa'!$C$30))))),"")</f>
        <v>200</v>
      </c>
    </row>
    <row r="346">
      <c r="K346" s="61" t="inlineStr">
        <is>
          <t>[Ex 4.1] C1 (texto)</t>
        </is>
      </c>
      <c r="L346" s="61" t="str">
        <f>IF(ISNUMBER($L$345),FIXED($L$345,IF(ROUND($L$345,0)=$L$345,0,IF(ROUND($L$345,1)=$L$345,1,IF(ROUND($L$345,2)=$L$345,2,IF(ROUND($L$345,3)=$L$345,3,IF(ROUND($L$345,4)=$L$345,4,IF(ROUND($L$345,5)=$L$345,5,IF(ROUND($L$345,6)=$L$345,6,7)))))))),"?")</f>
        <v>200</v>
      </c>
    </row>
    <row r="347">
      <c r="K347" s="61" t="inlineStr">
        <is>
          <t>[Ex 4.1] C2 (arredondado)</t>
        </is>
      </c>
      <c r="L347" s="61">
        <f>IFERROR(ROUND('05 — Balanço de Massa'!$C$32,IF('05 — Balanço de Massa'!$C$32=0,0,4-INT(LOG10(ABS('05 — Balanço de Massa'!$C$32))))),"")</f>
        <v>50</v>
      </c>
    </row>
    <row r="348">
      <c r="K348" s="61" t="inlineStr">
        <is>
          <t>[Ex 4.1] C2 (texto)</t>
        </is>
      </c>
      <c r="L348" s="61" t="str">
        <f>IF(ISNUMBER($L$347),FIXED($L$347,IF(ROUND($L$347,0)=$L$347,0,IF(ROUND($L$347,1)=$L$347,1,IF(ROUND($L$347,2)=$L$347,2,IF(ROUND($L$347,3)=$L$347,3,IF(ROUND($L$347,4)=$L$347,4,IF(ROUND($L$347,5)=$L$347,5,IF(ROUND($L$347,6)=$L$347,6,7)))))))),"?")</f>
        <v>50</v>
      </c>
    </row>
    <row r="349">
      <c r="K349" s="61" t="inlineStr">
        <is>
          <t>[Ex 4.1] Q1 (arredondado)</t>
        </is>
      </c>
      <c r="L349" s="61">
        <f>IFERROR(ROUND('05 — Balanço de Massa'!$C$29,IF('05 — Balanço de Massa'!$C$29=0,0,4-INT(LOG10(ABS('05 — Balanço de Massa'!$C$29))))),"")</f>
        <v>120</v>
      </c>
    </row>
    <row r="350">
      <c r="K350" s="61" t="inlineStr">
        <is>
          <t>[Ex 4.1] Q1 (texto)</t>
        </is>
      </c>
      <c r="L350" s="61" t="str">
        <f>IF(ISNUMBER($L$349),FIXED($L$349,IF(ROUND($L$349,0)=$L$349,0,IF(ROUND($L$349,1)=$L$349,1,IF(ROUND($L$349,2)=$L$349,2,IF(ROUND($L$349,3)=$L$349,3,IF(ROUND($L$349,4)=$L$349,4,IF(ROUND($L$349,5)=$L$349,5,IF(ROUND($L$349,6)=$L$349,6,7)))))))),"?")</f>
        <v>120</v>
      </c>
    </row>
    <row r="351">
      <c r="K351" s="61" t="inlineStr">
        <is>
          <t>[Ex 4.1] Q2 (arredondado)</t>
        </is>
      </c>
      <c r="L351" s="61">
        <f>IFERROR(ROUND('05 — Balanço de Massa'!$C$31,IF('05 — Balanço de Massa'!$C$31=0,0,4-INT(LOG10(ABS('05 — Balanço de Massa'!$C$31))))),"")</f>
        <v>80</v>
      </c>
    </row>
    <row r="352">
      <c r="K352" s="61" t="inlineStr">
        <is>
          <t>[Ex 4.1] Q2 (texto)</t>
        </is>
      </c>
      <c r="L352" s="61" t="str">
        <f>IF(ISNUMBER($L$351),FIXED($L$351,IF(ROUND($L$351,0)=$L$351,0,IF(ROUND($L$351,1)=$L$351,1,IF(ROUND($L$351,2)=$L$351,2,IF(ROUND($L$351,3)=$L$351,3,IF(ROUND($L$351,4)=$L$351,4,IF(ROUND($L$351,5)=$L$351,5,IF(ROUND($L$351,6)=$L$351,6,7)))))))),"?")</f>
        <v>80</v>
      </c>
    </row>
    <row r="353">
      <c r="K353" s="61" t="inlineStr">
        <is>
          <t>[Ex 4.1] Cf (arredondado)</t>
        </is>
      </c>
      <c r="L353" s="61">
        <f>IFERROR(ROUND($L$339,IF($L$339=0,0,4-INT(LOG10(ABS($L$339))))),"")</f>
        <v>140</v>
      </c>
    </row>
    <row r="354">
      <c r="K354" s="61" t="inlineStr">
        <is>
          <t>[Ex 4.1] Cf (texto)</t>
        </is>
      </c>
      <c r="L354" s="61" t="str">
        <f>IF(ISNUMBER($L$353),FIXED($L$353,IF(ROUND($L$353,0)=$L$353,0,IF(ROUND($L$353,1)=$L$353,1,IF(ROUND($L$353,2)=$L$353,2,IF(ROUND($L$353,3)=$L$353,3,IF(ROUND($L$353,4)=$L$353,4,IF(ROUND($L$353,5)=$L$353,5,IF(ROUND($L$353,6)=$L$353,6,7)))))))),"?")</f>
        <v>140</v>
      </c>
    </row>
    <row r="355">
      <c r="K355" s="61" t="inlineStr">
        <is>
          <t>[Ex 4.1] QC (arredondado)</t>
        </is>
      </c>
      <c r="L355" s="61">
        <f>IFERROR(ROUND($L$338,IF($L$338=0,0,4-INT(LOG10(ABS($L$338))))),"")</f>
        <v>28000</v>
      </c>
    </row>
    <row r="356">
      <c r="K356" s="61" t="inlineStr">
        <is>
          <t>[Ex 4.1] QC (texto)</t>
        </is>
      </c>
      <c r="L356" s="61" t="str">
        <f>IF(ISNUMBER($L$355),FIXED($L$355,IF(ROUND($L$355,0)=$L$355,0,IF(ROUND($L$355,1)=$L$355,1,IF(ROUND($L$355,2)=$L$355,2,IF(ROUND($L$355,3)=$L$355,3,IF(ROUND($L$355,4)=$L$355,4,IF(ROUND($L$355,5)=$L$355,5,IF(ROUND($L$355,6)=$L$355,6,7)))))))),"?")</f>
        <v>28.000</v>
      </c>
    </row>
    <row r="357">
      <c r="K357" s="61" t="inlineStr">
        <is>
          <t>[Ex 4.1] Qt (arredondado)</t>
        </is>
      </c>
      <c r="L357" s="61">
        <f>IFERROR(ROUND($L$337,IF($L$337=0,0,4-INT(LOG10(ABS($L$337))))),"")</f>
        <v>200</v>
      </c>
    </row>
    <row r="358">
      <c r="K358" s="61" t="inlineStr">
        <is>
          <t>[Ex 4.1] Qt (texto)</t>
        </is>
      </c>
      <c r="L358" s="61" t="str">
        <f>IF(ISNUMBER($L$357),FIXED($L$357,IF(ROUND($L$357,0)=$L$357,0,IF(ROUND($L$357,1)=$L$357,1,IF(ROUND($L$357,2)=$L$357,2,IF(ROUND($L$357,3)=$L$357,3,IF(ROUND($L$357,4)=$L$357,4,IF(ROUND($L$357,5)=$L$357,5,IF(ROUND($L$357,6)=$L$357,6,7)))))))),"?")</f>
        <v>200</v>
      </c>
    </row>
    <row r="359">
      <c r="K359" s="61" t="inlineStr">
        <is>
          <t>[Ex 4.1] Cmax (arredondado)</t>
        </is>
      </c>
      <c r="L359" s="61">
        <f>IFERROR(ROUND($L$344,IF($L$344=0,0,4-INT(LOG10(ABS($L$344))))),"")</f>
        <v>200</v>
      </c>
    </row>
    <row r="360">
      <c r="K360" s="61" t="inlineStr">
        <is>
          <t>[Ex 4.1] Cmax (texto)</t>
        </is>
      </c>
      <c r="L360" s="61" t="str">
        <f>IF(ISNUMBER($L$359),FIXED($L$359,IF(ROUND($L$359,0)=$L$359,0,IF(ROUND($L$359,1)=$L$359,1,IF(ROUND($L$359,2)=$L$359,2,IF(ROUND($L$359,3)=$L$359,3,IF(ROUND($L$359,4)=$L$359,4,IF(ROUND($L$359,5)=$L$359,5,IF(ROUND($L$359,6)=$L$359,6,7)))))))),"?")</f>
        <v>200</v>
      </c>
    </row>
    <row r="361">
      <c r="K361" s="61" t="inlineStr">
        <is>
          <t>[Ex 4.1] Cmin (arredondado)</t>
        </is>
      </c>
      <c r="L361" s="61">
        <f>IFERROR(ROUND($L$343,IF($L$343=0,0,4-INT(LOG10(ABS($L$343))))),"")</f>
        <v>50</v>
      </c>
    </row>
    <row r="362">
      <c r="K362" s="61" t="inlineStr">
        <is>
          <t>[Ex 4.1] Cmin (texto)</t>
        </is>
      </c>
      <c r="L362" s="61" t="str">
        <f>IF(ISNUMBER($L$361),FIXED($L$361,IF(ROUND($L$361,0)=$L$361,0,IF(ROUND($L$361,1)=$L$361,1,IF(ROUND($L$361,2)=$L$361,2,IF(ROUND($L$361,3)=$L$361,3,IF(ROUND($L$361,4)=$L$361,4,IF(ROUND($L$361,5)=$L$361,5,IF(ROUND($L$361,6)=$L$361,6,7)))))))),"?")</f>
        <v>50</v>
      </c>
    </row>
    <row r="363">
      <c r="K363" s="61" t="inlineStr">
        <is>
          <t>[Ex 4.1] Lt (arredondado)</t>
        </is>
      </c>
      <c r="L363" s="61">
        <f>IFERROR(ROUND($L$342,IF($L$342=0,0,4-INT(LOG10(ABS($L$342))))),"")</f>
        <v>28</v>
      </c>
    </row>
    <row r="364">
      <c r="K364" s="61" t="inlineStr">
        <is>
          <t>[Ex 4.1] Lt (texto)</t>
        </is>
      </c>
      <c r="L364" s="61" t="str">
        <f>IF(ISNUMBER($L$363),FIXED($L$363,IF(ROUND($L$363,0)=$L$363,0,IF(ROUND($L$363,1)=$L$363,1,IF(ROUND($L$363,2)=$L$363,2,IF(ROUND($L$363,3)=$L$363,3,IF(ROUND($L$363,4)=$L$363,4,IF(ROUND($L$363,5)=$L$363,5,IF(ROUND($L$363,6)=$L$363,6,7)))))))),"?")</f>
        <v>28</v>
      </c>
    </row>
    <row r="365">
      <c r="K365" s="61" t="inlineStr">
        <is>
          <t>[Ex 4.2] Qt</t>
        </is>
      </c>
      <c r="L365" s="61">
        <f>IFERROR('05 — Balanço de Massa'!$D$29+'05 — Balanço de Massa'!$D$31,"")</f>
        <v>9072</v>
      </c>
    </row>
    <row r="366">
      <c r="K366" s="61" t="inlineStr">
        <is>
          <t>[Ex 4.2] QC</t>
        </is>
      </c>
      <c r="L366" s="61">
        <f>IFERROR('05 — Balanço de Massa'!$D$29*'05 — Balanço de Massa'!$D$30+'05 — Balanço de Massa'!$D$31*'05 — Balanço de Massa'!$D$32,"")</f>
        <v>43200</v>
      </c>
    </row>
    <row r="367">
      <c r="K367" s="61" t="inlineStr">
        <is>
          <t>[Ex 4.2] Cf</t>
        </is>
      </c>
      <c r="L367" s="61">
        <f>IFERROR($L$366/$L$365,"")</f>
        <v>4.76190476190476</v>
      </c>
    </row>
    <row r="368">
      <c r="K368" s="61" t="inlineStr">
        <is>
          <t>[Ex 4.2] L1</t>
        </is>
      </c>
      <c r="L368" s="61">
        <f>IFERROR('05 — Balanço de Massa'!$D$29*'05 — Balanço de Massa'!$D$30*0.001,"")</f>
        <v>25.92</v>
      </c>
    </row>
    <row r="369">
      <c r="K369" s="61" t="inlineStr">
        <is>
          <t>[Ex 4.2] L2</t>
        </is>
      </c>
      <c r="L369" s="61">
        <f>IFERROR('05 — Balanço de Massa'!$D$31*'05 — Balanço de Massa'!$D$32*0.001,"")</f>
        <v>17.28</v>
      </c>
    </row>
    <row r="370">
      <c r="K370" s="61" t="inlineStr">
        <is>
          <t>[Ex 4.2] Lt</t>
        </is>
      </c>
      <c r="L370" s="61">
        <f>IFERROR($L$368+$L$369,"")</f>
        <v>43.2</v>
      </c>
    </row>
    <row r="371">
      <c r="K371" s="61" t="inlineStr">
        <is>
          <t>[Ex 4.2] Cmin</t>
        </is>
      </c>
      <c r="L371" s="61">
        <f>IFERROR(MIN('05 — Balanço de Massa'!$D$30,'05 — Balanço de Massa'!$D$32),"")</f>
        <v>2</v>
      </c>
    </row>
    <row r="372">
      <c r="K372" s="61" t="inlineStr">
        <is>
          <t>[Ex 4.2] Cmax</t>
        </is>
      </c>
      <c r="L372" s="61">
        <f>IFERROR(MAX('05 — Balanço de Massa'!$D$30,'05 — Balanço de Massa'!$D$32),"")</f>
        <v>60</v>
      </c>
    </row>
    <row r="373">
      <c r="K373" s="61" t="inlineStr">
        <is>
          <t>[Ex 4.2] C1 (arredondado)</t>
        </is>
      </c>
      <c r="L373" s="61">
        <f>IFERROR(ROUND('05 — Balanço de Massa'!$D$30,IF('05 — Balanço de Massa'!$D$30=0,0,4-INT(LOG10(ABS('05 — Balanço de Massa'!$D$30))))),"")</f>
        <v>60</v>
      </c>
    </row>
    <row r="374">
      <c r="K374" s="61" t="inlineStr">
        <is>
          <t>[Ex 4.2] C1 (texto)</t>
        </is>
      </c>
      <c r="L374" s="61" t="str">
        <f>IF(ISNUMBER($L$373),FIXED($L$373,IF(ROUND($L$373,0)=$L$373,0,IF(ROUND($L$373,1)=$L$373,1,IF(ROUND($L$373,2)=$L$373,2,IF(ROUND($L$373,3)=$L$373,3,IF(ROUND($L$373,4)=$L$373,4,IF(ROUND($L$373,5)=$L$373,5,IF(ROUND($L$373,6)=$L$373,6,7)))))))),"?")</f>
        <v>60</v>
      </c>
    </row>
    <row r="375">
      <c r="K375" s="61" t="inlineStr">
        <is>
          <t>[Ex 4.2] C2 (arredondado)</t>
        </is>
      </c>
      <c r="L375" s="61">
        <f>IFERROR(ROUND('05 — Balanço de Massa'!$D$32,IF('05 — Balanço de Massa'!$D$32=0,0,4-INT(LOG10(ABS('05 — Balanço de Massa'!$D$32))))),"")</f>
        <v>2</v>
      </c>
    </row>
    <row r="376">
      <c r="K376" s="61" t="inlineStr">
        <is>
          <t>[Ex 4.2] C2 (texto)</t>
        </is>
      </c>
      <c r="L376" s="61" t="str">
        <f>IF(ISNUMBER($L$375),FIXED($L$375,IF(ROUND($L$375,0)=$L$375,0,IF(ROUND($L$375,1)=$L$375,1,IF(ROUND($L$375,2)=$L$375,2,IF(ROUND($L$375,3)=$L$375,3,IF(ROUND($L$375,4)=$L$375,4,IF(ROUND($L$375,5)=$L$375,5,IF(ROUND($L$375,6)=$L$375,6,7)))))))),"?")</f>
        <v>2</v>
      </c>
    </row>
    <row r="377">
      <c r="K377" s="61" t="inlineStr">
        <is>
          <t>[Ex 4.2] Q1 (arredondado)</t>
        </is>
      </c>
      <c r="L377" s="61">
        <f>IFERROR(ROUND('05 — Balanço de Massa'!$D$29,IF('05 — Balanço de Massa'!$D$29=0,0,4-INT(LOG10(ABS('05 — Balanço de Massa'!$D$29))))),"")</f>
        <v>432</v>
      </c>
    </row>
    <row r="378">
      <c r="K378" s="61" t="inlineStr">
        <is>
          <t>[Ex 4.2] Q1 (texto)</t>
        </is>
      </c>
      <c r="L378" s="61" t="str">
        <f>IF(ISNUMBER($L$377),FIXED($L$377,IF(ROUND($L$377,0)=$L$377,0,IF(ROUND($L$377,1)=$L$377,1,IF(ROUND($L$377,2)=$L$377,2,IF(ROUND($L$377,3)=$L$377,3,IF(ROUND($L$377,4)=$L$377,4,IF(ROUND($L$377,5)=$L$377,5,IF(ROUND($L$377,6)=$L$377,6,7)))))))),"?")</f>
        <v>432</v>
      </c>
    </row>
    <row r="379">
      <c r="K379" s="61" t="inlineStr">
        <is>
          <t>[Ex 4.2] Q2 (arredondado)</t>
        </is>
      </c>
      <c r="L379" s="61">
        <f>IFERROR(ROUND('05 — Balanço de Massa'!$D$31,IF('05 — Balanço de Massa'!$D$31=0,0,4-INT(LOG10(ABS('05 — Balanço de Massa'!$D$31))))),"")</f>
        <v>8640</v>
      </c>
    </row>
    <row r="380">
      <c r="K380" s="61" t="inlineStr">
        <is>
          <t>[Ex 4.2] Q2 (texto)</t>
        </is>
      </c>
      <c r="L380" s="61" t="str">
        <f>IF(ISNUMBER($L$379),FIXED($L$379,IF(ROUND($L$379,0)=$L$379,0,IF(ROUND($L$379,1)=$L$379,1,IF(ROUND($L$379,2)=$L$379,2,IF(ROUND($L$379,3)=$L$379,3,IF(ROUND($L$379,4)=$L$379,4,IF(ROUND($L$379,5)=$L$379,5,IF(ROUND($L$379,6)=$L$379,6,7)))))))),"?")</f>
        <v>8.640</v>
      </c>
    </row>
    <row r="381">
      <c r="K381" s="61" t="inlineStr">
        <is>
          <t>[Ex 4.2] Cf (arredondado)</t>
        </is>
      </c>
      <c r="L381" s="61">
        <f>IFERROR(ROUND($L$367,IF($L$367=0,0,4-INT(LOG10(ABS($L$367))))),"")</f>
        <v>4.7619</v>
      </c>
    </row>
    <row r="382">
      <c r="K382" s="61" t="inlineStr">
        <is>
          <t>[Ex 4.2] Cf (texto)</t>
        </is>
      </c>
      <c r="L382" s="61" t="str">
        <f>IF(ISNUMBER($L$381),FIXED($L$381,IF(ROUND($L$381,0)=$L$381,0,IF(ROUND($L$381,1)=$L$381,1,IF(ROUND($L$381,2)=$L$381,2,IF(ROUND($L$381,3)=$L$381,3,IF(ROUND($L$381,4)=$L$381,4,IF(ROUND($L$381,5)=$L$381,5,IF(ROUND($L$381,6)=$L$381,6,7)))))))),"?")</f>
        <v>4,7619</v>
      </c>
    </row>
    <row r="383">
      <c r="K383" s="61" t="inlineStr">
        <is>
          <t>[Ex 4.2] QC (arredondado)</t>
        </is>
      </c>
      <c r="L383" s="61">
        <f>IFERROR(ROUND($L$366,IF($L$366=0,0,4-INT(LOG10(ABS($L$366))))),"")</f>
        <v>43200</v>
      </c>
    </row>
    <row r="384">
      <c r="K384" s="61" t="inlineStr">
        <is>
          <t>[Ex 4.2] QC (texto)</t>
        </is>
      </c>
      <c r="L384" s="61" t="str">
        <f>IF(ISNUMBER($L$383),FIXED($L$383,IF(ROUND($L$383,0)=$L$383,0,IF(ROUND($L$383,1)=$L$383,1,IF(ROUND($L$383,2)=$L$383,2,IF(ROUND($L$383,3)=$L$383,3,IF(ROUND($L$383,4)=$L$383,4,IF(ROUND($L$383,5)=$L$383,5,IF(ROUND($L$383,6)=$L$383,6,7)))))))),"?")</f>
        <v>43.200</v>
      </c>
    </row>
    <row r="385">
      <c r="K385" s="61" t="inlineStr">
        <is>
          <t>[Ex 4.2] Qt (arredondado)</t>
        </is>
      </c>
      <c r="L385" s="61">
        <f>IFERROR(ROUND($L$365,IF($L$365=0,0,4-INT(LOG10(ABS($L$365))))),"")</f>
        <v>9072</v>
      </c>
    </row>
    <row r="386">
      <c r="K386" s="61" t="inlineStr">
        <is>
          <t>[Ex 4.2] Qt (texto)</t>
        </is>
      </c>
      <c r="L386" s="61" t="str">
        <f>IF(ISNUMBER($L$385),FIXED($L$385,IF(ROUND($L$385,0)=$L$385,0,IF(ROUND($L$385,1)=$L$385,1,IF(ROUND($L$385,2)=$L$385,2,IF(ROUND($L$385,3)=$L$385,3,IF(ROUND($L$385,4)=$L$385,4,IF(ROUND($L$385,5)=$L$385,5,IF(ROUND($L$385,6)=$L$385,6,7)))))))),"?")</f>
        <v>9.072</v>
      </c>
    </row>
    <row r="387">
      <c r="K387" s="61" t="inlineStr">
        <is>
          <t>[Ex 4.2] Cmax (arredondado)</t>
        </is>
      </c>
      <c r="L387" s="61">
        <f>IFERROR(ROUND($L$372,IF($L$372=0,0,4-INT(LOG10(ABS($L$372))))),"")</f>
        <v>60</v>
      </c>
    </row>
    <row r="388">
      <c r="K388" s="61" t="inlineStr">
        <is>
          <t>[Ex 4.2] Cmax (texto)</t>
        </is>
      </c>
      <c r="L388" s="61" t="str">
        <f>IF(ISNUMBER($L$387),FIXED($L$387,IF(ROUND($L$387,0)=$L$387,0,IF(ROUND($L$387,1)=$L$387,1,IF(ROUND($L$387,2)=$L$387,2,IF(ROUND($L$387,3)=$L$387,3,IF(ROUND($L$387,4)=$L$387,4,IF(ROUND($L$387,5)=$L$387,5,IF(ROUND($L$387,6)=$L$387,6,7)))))))),"?")</f>
        <v>60</v>
      </c>
    </row>
    <row r="389">
      <c r="K389" s="61" t="inlineStr">
        <is>
          <t>[Ex 4.2] Cmin (arredondado)</t>
        </is>
      </c>
      <c r="L389" s="61">
        <f>IFERROR(ROUND($L$371,IF($L$371=0,0,4-INT(LOG10(ABS($L$371))))),"")</f>
        <v>2</v>
      </c>
    </row>
    <row r="390">
      <c r="K390" s="61" t="inlineStr">
        <is>
          <t>[Ex 4.2] Cmin (texto)</t>
        </is>
      </c>
      <c r="L390" s="61" t="str">
        <f>IF(ISNUMBER($L$389),FIXED($L$389,IF(ROUND($L$389,0)=$L$389,0,IF(ROUND($L$389,1)=$L$389,1,IF(ROUND($L$389,2)=$L$389,2,IF(ROUND($L$389,3)=$L$389,3,IF(ROUND($L$389,4)=$L$389,4,IF(ROUND($L$389,5)=$L$389,5,IF(ROUND($L$389,6)=$L$389,6,7)))))))),"?")</f>
        <v>2</v>
      </c>
    </row>
    <row r="391">
      <c r="K391" s="61" t="inlineStr">
        <is>
          <t>[Ex 4.2] Lt (arredondado)</t>
        </is>
      </c>
      <c r="L391" s="61">
        <f>IFERROR(ROUND($L$370,IF($L$370=0,0,4-INT(LOG10(ABS($L$370))))),"")</f>
        <v>43.2</v>
      </c>
    </row>
    <row r="392">
      <c r="K392" s="61" t="inlineStr">
        <is>
          <t>[Ex 4.2] Lt (texto)</t>
        </is>
      </c>
      <c r="L392" s="61" t="str">
        <f>IF(ISNUMBER($L$391),FIXED($L$391,IF(ROUND($L$391,0)=$L$391,0,IF(ROUND($L$391,1)=$L$391,1,IF(ROUND($L$391,2)=$L$391,2,IF(ROUND($L$391,3)=$L$391,3,IF(ROUND($L$391,4)=$L$391,4,IF(ROUND($L$391,5)=$L$391,5,IF(ROUND($L$391,6)=$L$391,6,7)))))))),"?")</f>
        <v>43,2</v>
      </c>
    </row>
    <row r="393">
      <c r="K393" s="61" t="inlineStr">
        <is>
          <t>[Ex 4.3] QeCe</t>
        </is>
      </c>
      <c r="L393" s="61">
        <f>IFERROR('05 — Balanço de Massa'!$C$81*'05 — Balanço de Massa'!$C$82,"")</f>
        <v>90000</v>
      </c>
    </row>
    <row r="394">
      <c r="K394" s="61" t="inlineStr">
        <is>
          <t>[Ex 4.3] QaCa</t>
        </is>
      </c>
      <c r="L394" s="61">
        <f>IFERROR('05 — Balanço de Massa'!$C$83*'05 — Balanço de Massa'!$C$84,"")</f>
        <v>14700</v>
      </c>
    </row>
    <row r="395">
      <c r="K395" s="61" t="inlineStr">
        <is>
          <t>[Ex 4.3] Cl</t>
        </is>
      </c>
      <c r="L395" s="61">
        <f>IFERROR(($L$393-$L$394)/'05 — Balanço de Massa'!$C$85,"")</f>
        <v>7530</v>
      </c>
    </row>
    <row r="396">
      <c r="K396" s="61" t="inlineStr">
        <is>
          <t>[Ex 4.3] Le</t>
        </is>
      </c>
      <c r="L396" s="61">
        <f>IFERROR($L$393*0.001,"")</f>
        <v>90</v>
      </c>
    </row>
    <row r="397">
      <c r="K397" s="61" t="inlineStr">
        <is>
          <t>[Ex 4.3] La</t>
        </is>
      </c>
      <c r="L397" s="61">
        <f>IFERROR($L$394*0.001,"")</f>
        <v>14.7</v>
      </c>
    </row>
    <row r="398">
      <c r="K398" s="61" t="inlineStr">
        <is>
          <t>[Ex 4.3] Ll</t>
        </is>
      </c>
      <c r="L398" s="61">
        <f>IFERROR($L$396-$L$397,"")</f>
        <v>75.3</v>
      </c>
    </row>
    <row r="399">
      <c r="K399" s="61" t="inlineStr">
        <is>
          <t>[Ex 4.3] QaQl</t>
        </is>
      </c>
      <c r="L399" s="61">
        <f>IFERROR('05 — Balanço de Massa'!$C$83+'05 — Balanço de Massa'!$C$85,"")</f>
        <v>500</v>
      </c>
    </row>
    <row r="400">
      <c r="K400" s="61" t="inlineStr">
        <is>
          <t>[Ex 4.3] dQ</t>
        </is>
      </c>
      <c r="L400" s="61">
        <f>IFERROR('05 — Balanço de Massa'!$C$81-$L$399,"")</f>
        <v>0</v>
      </c>
    </row>
    <row r="401">
      <c r="K401" s="61" t="inlineStr">
        <is>
          <t>[Ex 4.3] fecha</t>
        </is>
      </c>
      <c r="L401" s="61" t="b">
        <f>IFERROR(ABS($L$400)&lt;=0.005*'05 — Balanço de Massa'!$C$81,"")</f>
        <v>1</v>
      </c>
    </row>
    <row r="402">
      <c r="K402" s="61" t="inlineStr">
        <is>
          <t>[Ex 4.3] fecha_txt</t>
        </is>
      </c>
      <c r="L402" s="61" t="str">
        <f>IFERROR(IF($L$401,"✔ Fecha","⚠ Não fecha"),"")</f>
        <v>✔ Fecha</v>
      </c>
    </row>
    <row r="403">
      <c r="K403" s="61" t="inlineStr">
        <is>
          <t>[Ex 4.3] razao</t>
        </is>
      </c>
      <c r="L403" s="61">
        <f>IFERROR(ROUND($L$395/'05 — Balanço de Massa'!$C$82,1),"")</f>
        <v>41.8</v>
      </c>
    </row>
    <row r="404">
      <c r="K404" s="61" t="inlineStr">
        <is>
          <t>[Ex 4.3] Ca (arredondado)</t>
        </is>
      </c>
      <c r="L404" s="61">
        <f>IFERROR(ROUND('05 — Balanço de Massa'!$C$84,IF('05 — Balanço de Massa'!$C$84=0,0,4-INT(LOG10(ABS('05 — Balanço de Massa'!$C$84))))),"")</f>
        <v>30</v>
      </c>
    </row>
    <row r="405">
      <c r="K405" s="61" t="inlineStr">
        <is>
          <t>[Ex 4.3] Ca (texto)</t>
        </is>
      </c>
      <c r="L405" s="61" t="str">
        <f>IF(ISNUMBER($L$404),FIXED($L$404,IF(ROUND($L$404,0)=$L$404,0,IF(ROUND($L$404,1)=$L$404,1,IF(ROUND($L$404,2)=$L$404,2,IF(ROUND($L$404,3)=$L$404,3,IF(ROUND($L$404,4)=$L$404,4,IF(ROUND($L$404,5)=$L$404,5,IF(ROUND($L$404,6)=$L$404,6,7)))))))),"?")</f>
        <v>30</v>
      </c>
    </row>
    <row r="406">
      <c r="K406" s="61" t="inlineStr">
        <is>
          <t>[Ex 4.3] Ce (arredondado)</t>
        </is>
      </c>
      <c r="L406" s="61">
        <f>IFERROR(ROUND('05 — Balanço de Massa'!$C$82,IF('05 — Balanço de Massa'!$C$82=0,0,4-INT(LOG10(ABS('05 — Balanço de Massa'!$C$82))))),"")</f>
        <v>180</v>
      </c>
    </row>
    <row r="407">
      <c r="K407" s="61" t="inlineStr">
        <is>
          <t>[Ex 4.3] Ce (texto)</t>
        </is>
      </c>
      <c r="L407" s="61" t="str">
        <f>IF(ISNUMBER($L$406),FIXED($L$406,IF(ROUND($L$406,0)=$L$406,0,IF(ROUND($L$406,1)=$L$406,1,IF(ROUND($L$406,2)=$L$406,2,IF(ROUND($L$406,3)=$L$406,3,IF(ROUND($L$406,4)=$L$406,4,IF(ROUND($L$406,5)=$L$406,5,IF(ROUND($L$406,6)=$L$406,6,7)))))))),"?")</f>
        <v>180</v>
      </c>
    </row>
    <row r="408">
      <c r="K408" s="61" t="inlineStr">
        <is>
          <t>[Ex 4.3] Qa (arredondado)</t>
        </is>
      </c>
      <c r="L408" s="61">
        <f>IFERROR(ROUND('05 — Balanço de Massa'!$C$83,IF('05 — Balanço de Massa'!$C$83=0,0,4-INT(LOG10(ABS('05 — Balanço de Massa'!$C$83))))),"")</f>
        <v>490</v>
      </c>
    </row>
    <row r="409">
      <c r="K409" s="61" t="inlineStr">
        <is>
          <t>[Ex 4.3] Qa (texto)</t>
        </is>
      </c>
      <c r="L409" s="61" t="str">
        <f>IF(ISNUMBER($L$408),FIXED($L$408,IF(ROUND($L$408,0)=$L$408,0,IF(ROUND($L$408,1)=$L$408,1,IF(ROUND($L$408,2)=$L$408,2,IF(ROUND($L$408,3)=$L$408,3,IF(ROUND($L$408,4)=$L$408,4,IF(ROUND($L$408,5)=$L$408,5,IF(ROUND($L$408,6)=$L$408,6,7)))))))),"?")</f>
        <v>490</v>
      </c>
    </row>
    <row r="410">
      <c r="K410" s="61" t="inlineStr">
        <is>
          <t>[Ex 4.3] Qe (arredondado)</t>
        </is>
      </c>
      <c r="L410" s="61">
        <f>IFERROR(ROUND('05 — Balanço de Massa'!$C$81,IF('05 — Balanço de Massa'!$C$81=0,0,4-INT(LOG10(ABS('05 — Balanço de Massa'!$C$81))))),"")</f>
        <v>500</v>
      </c>
    </row>
    <row r="411">
      <c r="K411" s="61" t="inlineStr">
        <is>
          <t>[Ex 4.3] Qe (texto)</t>
        </is>
      </c>
      <c r="L411" s="61" t="str">
        <f>IF(ISNUMBER($L$410),FIXED($L$410,IF(ROUND($L$410,0)=$L$410,0,IF(ROUND($L$410,1)=$L$410,1,IF(ROUND($L$410,2)=$L$410,2,IF(ROUND($L$410,3)=$L$410,3,IF(ROUND($L$410,4)=$L$410,4,IF(ROUND($L$410,5)=$L$410,5,IF(ROUND($L$410,6)=$L$410,6,7)))))))),"?")</f>
        <v>500</v>
      </c>
    </row>
    <row r="412">
      <c r="K412" s="61" t="inlineStr">
        <is>
          <t>[Ex 4.3] Ql (arredondado)</t>
        </is>
      </c>
      <c r="L412" s="61">
        <f>IFERROR(ROUND('05 — Balanço de Massa'!$C$85,IF('05 — Balanço de Massa'!$C$85=0,0,4-INT(LOG10(ABS('05 — Balanço de Massa'!$C$85))))),"")</f>
        <v>10</v>
      </c>
    </row>
    <row r="413">
      <c r="K413" s="61" t="inlineStr">
        <is>
          <t>[Ex 4.3] Ql (texto)</t>
        </is>
      </c>
      <c r="L413" s="61" t="str">
        <f>IF(ISNUMBER($L$412),FIXED($L$412,IF(ROUND($L$412,0)=$L$412,0,IF(ROUND($L$412,1)=$L$412,1,IF(ROUND($L$412,2)=$L$412,2,IF(ROUND($L$412,3)=$L$412,3,IF(ROUND($L$412,4)=$L$412,4,IF(ROUND($L$412,5)=$L$412,5,IF(ROUND($L$412,6)=$L$412,6,7)))))))),"?")</f>
        <v>10</v>
      </c>
    </row>
    <row r="414">
      <c r="K414" s="61" t="inlineStr">
        <is>
          <t>[Ex 4.3] Cl (arredondado)</t>
        </is>
      </c>
      <c r="L414" s="61">
        <f>IFERROR(ROUND($L$395,IF($L$395=0,0,4-INT(LOG10(ABS($L$395))))),"")</f>
        <v>7530</v>
      </c>
    </row>
    <row r="415">
      <c r="K415" s="61" t="inlineStr">
        <is>
          <t>[Ex 4.3] Cl (texto)</t>
        </is>
      </c>
      <c r="L415" s="61" t="str">
        <f>IF(ISNUMBER($L$414),FIXED($L$414,IF(ROUND($L$414,0)=$L$414,0,IF(ROUND($L$414,1)=$L$414,1,IF(ROUND($L$414,2)=$L$414,2,IF(ROUND($L$414,3)=$L$414,3,IF(ROUND($L$414,4)=$L$414,4,IF(ROUND($L$414,5)=$L$414,5,IF(ROUND($L$414,6)=$L$414,6,7)))))))),"?")</f>
        <v>7.530</v>
      </c>
    </row>
    <row r="416">
      <c r="K416" s="61" t="inlineStr">
        <is>
          <t>[Ex 4.3] QaCa (arredondado)</t>
        </is>
      </c>
      <c r="L416" s="61">
        <f>IFERROR(ROUND($L$394,IF($L$394=0,0,4-INT(LOG10(ABS($L$394))))),"")</f>
        <v>14700</v>
      </c>
    </row>
    <row r="417">
      <c r="K417" s="61" t="inlineStr">
        <is>
          <t>[Ex 4.3] QaCa (texto)</t>
        </is>
      </c>
      <c r="L417" s="61" t="str">
        <f>IF(ISNUMBER($L$416),FIXED($L$416,IF(ROUND($L$416,0)=$L$416,0,IF(ROUND($L$416,1)=$L$416,1,IF(ROUND($L$416,2)=$L$416,2,IF(ROUND($L$416,3)=$L$416,3,IF(ROUND($L$416,4)=$L$416,4,IF(ROUND($L$416,5)=$L$416,5,IF(ROUND($L$416,6)=$L$416,6,7)))))))),"?")</f>
        <v>14.700</v>
      </c>
    </row>
    <row r="418">
      <c r="K418" s="61" t="inlineStr">
        <is>
          <t>[Ex 4.3] QeCe (arredondado)</t>
        </is>
      </c>
      <c r="L418" s="61">
        <f>IFERROR(ROUND($L$393,IF($L$393=0,0,4-INT(LOG10(ABS($L$393))))),"")</f>
        <v>90000</v>
      </c>
    </row>
    <row r="419">
      <c r="K419" s="61" t="inlineStr">
        <is>
          <t>[Ex 4.3] QeCe (texto)</t>
        </is>
      </c>
      <c r="L419" s="61" t="str">
        <f>IF(ISNUMBER($L$418),FIXED($L$418,IF(ROUND($L$418,0)=$L$418,0,IF(ROUND($L$418,1)=$L$418,1,IF(ROUND($L$418,2)=$L$418,2,IF(ROUND($L$418,3)=$L$418,3,IF(ROUND($L$418,4)=$L$418,4,IF(ROUND($L$418,5)=$L$418,5,IF(ROUND($L$418,6)=$L$418,6,7)))))))),"?")</f>
        <v>90.000</v>
      </c>
    </row>
    <row r="420">
      <c r="K420" s="61" t="inlineStr">
        <is>
          <t>[Ex 4.3] QaQl (arredondado)</t>
        </is>
      </c>
      <c r="L420" s="61">
        <f>IFERROR(ROUND($L$399,IF($L$399=0,0,4-INT(LOG10(ABS($L$399))))),"")</f>
        <v>500</v>
      </c>
    </row>
    <row r="421">
      <c r="K421" s="61" t="inlineStr">
        <is>
          <t>[Ex 4.3] QaQl (texto)</t>
        </is>
      </c>
      <c r="L421" s="61" t="str">
        <f>IF(ISNUMBER($L$420),FIXED($L$420,IF(ROUND($L$420,0)=$L$420,0,IF(ROUND($L$420,1)=$L$420,1,IF(ROUND($L$420,2)=$L$420,2,IF(ROUND($L$420,3)=$L$420,3,IF(ROUND($L$420,4)=$L$420,4,IF(ROUND($L$420,5)=$L$420,5,IF(ROUND($L$420,6)=$L$420,6,7)))))))),"?")</f>
        <v>500</v>
      </c>
    </row>
    <row r="422">
      <c r="K422" s="61" t="inlineStr">
        <is>
          <t>[Ex 4.3] dQ (arredondado)</t>
        </is>
      </c>
      <c r="L422" s="61">
        <f>IFERROR(ROUND($L$400,IF($L$400=0,0,4-INT(LOG10(ABS($L$400))))),"")</f>
        <v>0</v>
      </c>
    </row>
    <row r="423">
      <c r="K423" s="61" t="inlineStr">
        <is>
          <t>[Ex 4.3] dQ (texto)</t>
        </is>
      </c>
      <c r="L423" s="61" t="str">
        <f>IF(ISNUMBER($L$422),FIXED($L$422,IF(ROUND($L$422,0)=$L$422,0,IF(ROUND($L$422,1)=$L$422,1,IF(ROUND($L$422,2)=$L$422,2,IF(ROUND($L$422,3)=$L$422,3,IF(ROUND($L$422,4)=$L$422,4,IF(ROUND($L$422,5)=$L$422,5,IF(ROUND($L$422,6)=$L$422,6,7)))))))),"?")</f>
        <v>0</v>
      </c>
    </row>
    <row r="424">
      <c r="K424" s="61" t="inlineStr">
        <is>
          <t>[Ex 4.3] razao (arredondado)</t>
        </is>
      </c>
      <c r="L424" s="61">
        <f>IFERROR(ROUND($L$403,IF($L$403=0,0,4-INT(LOG10(ABS($L$403))))),"")</f>
        <v>41.8</v>
      </c>
    </row>
    <row r="425">
      <c r="K425" s="61" t="inlineStr">
        <is>
          <t>[Ex 4.3] razao (texto)</t>
        </is>
      </c>
      <c r="L425" s="61" t="str">
        <f>IF(ISNUMBER($L$424),FIXED($L$424,IF(ROUND($L$424,0)=$L$424,0,IF(ROUND($L$424,1)=$L$424,1,IF(ROUND($L$424,2)=$L$424,2,IF(ROUND($L$424,3)=$L$424,3,IF(ROUND($L$424,4)=$L$424,4,IF(ROUND($L$424,5)=$L$424,5,IF(ROUND($L$424,6)=$L$424,6,7)))))))),"?")</f>
        <v>41,8</v>
      </c>
    </row>
    <row r="426">
      <c r="K426" s="61" t="inlineStr">
        <is>
          <t>[Ex 4.4] QeCe</t>
        </is>
      </c>
      <c r="L426" s="61">
        <f>IFERROR('05 — Balanço de Massa'!$D$81*'05 — Balanço de Massa'!$D$82,"")</f>
        <v>220000</v>
      </c>
    </row>
    <row r="427">
      <c r="K427" s="61" t="inlineStr">
        <is>
          <t>[Ex 4.4] QaCa</t>
        </is>
      </c>
      <c r="L427" s="61">
        <f>IFERROR('05 — Balanço de Massa'!$D$83*'05 — Balanço de Massa'!$D$84,"")</f>
        <v>24625</v>
      </c>
    </row>
    <row r="428">
      <c r="K428" s="61" t="inlineStr">
        <is>
          <t>[Ex 4.4] Cl</t>
        </is>
      </c>
      <c r="L428" s="61">
        <f>IFERROR(($L$426-$L$427)/'05 — Balanço de Massa'!$D$85,"")</f>
        <v>13025</v>
      </c>
    </row>
    <row r="429">
      <c r="K429" s="61" t="inlineStr">
        <is>
          <t>[Ex 4.4] Le</t>
        </is>
      </c>
      <c r="L429" s="61">
        <f>IFERROR($L$426*0.001,"")</f>
        <v>220</v>
      </c>
    </row>
    <row r="430">
      <c r="K430" s="61" t="inlineStr">
        <is>
          <t>[Ex 4.4] La</t>
        </is>
      </c>
      <c r="L430" s="61">
        <f>IFERROR($L$427*0.001,"")</f>
        <v>24.625</v>
      </c>
    </row>
    <row r="431">
      <c r="K431" s="61" t="inlineStr">
        <is>
          <t>[Ex 4.4] Ll</t>
        </is>
      </c>
      <c r="L431" s="61">
        <f>IFERROR($L$429-$L$430,"")</f>
        <v>195.375</v>
      </c>
    </row>
    <row r="432">
      <c r="K432" s="61" t="inlineStr">
        <is>
          <t>[Ex 4.4] QaQl</t>
        </is>
      </c>
      <c r="L432" s="61">
        <f>IFERROR('05 — Balanço de Massa'!$D$83+'05 — Balanço de Massa'!$D$85,"")</f>
        <v>1000</v>
      </c>
    </row>
    <row r="433">
      <c r="K433" s="61" t="inlineStr">
        <is>
          <t>[Ex 4.4] dQ</t>
        </is>
      </c>
      <c r="L433" s="61">
        <f>IFERROR('05 — Balanço de Massa'!$D$81-$L$432,"")</f>
        <v>0</v>
      </c>
    </row>
    <row r="434">
      <c r="K434" s="61" t="inlineStr">
        <is>
          <t>[Ex 4.4] fecha</t>
        </is>
      </c>
      <c r="L434" s="61" t="b">
        <f>IFERROR(ABS($L$433)&lt;=0.005*'05 — Balanço de Massa'!$D$81,"")</f>
        <v>1</v>
      </c>
    </row>
    <row r="435">
      <c r="K435" s="61" t="inlineStr">
        <is>
          <t>[Ex 4.4] fecha_txt</t>
        </is>
      </c>
      <c r="L435" s="61" t="str">
        <f>IFERROR(IF($L$434,"✔ Fecha","⚠ Não fecha"),"")</f>
        <v>✔ Fecha</v>
      </c>
    </row>
    <row r="436">
      <c r="K436" s="61" t="inlineStr">
        <is>
          <t>[Ex 4.4] razao</t>
        </is>
      </c>
      <c r="L436" s="61">
        <f>IFERROR(ROUND($L$428/'05 — Balanço de Massa'!$D$82,1),"")</f>
        <v>59.2</v>
      </c>
    </row>
    <row r="437">
      <c r="K437" s="61" t="inlineStr">
        <is>
          <t>[Ex 4.4] Ca (arredondado)</t>
        </is>
      </c>
      <c r="L437" s="61">
        <f>IFERROR(ROUND('05 — Balanço de Massa'!$D$84,IF('05 — Balanço de Massa'!$D$84=0,0,4-INT(LOG10(ABS('05 — Balanço de Massa'!$D$84))))),"")</f>
        <v>25</v>
      </c>
    </row>
    <row r="438">
      <c r="K438" s="61" t="inlineStr">
        <is>
          <t>[Ex 4.4] Ca (texto)</t>
        </is>
      </c>
      <c r="L438" s="61" t="str">
        <f>IF(ISNUMBER($L$437),FIXED($L$437,IF(ROUND($L$437,0)=$L$437,0,IF(ROUND($L$437,1)=$L$437,1,IF(ROUND($L$437,2)=$L$437,2,IF(ROUND($L$437,3)=$L$437,3,IF(ROUND($L$437,4)=$L$437,4,IF(ROUND($L$437,5)=$L$437,5,IF(ROUND($L$437,6)=$L$437,6,7)))))))),"?")</f>
        <v>25</v>
      </c>
    </row>
    <row r="439">
      <c r="K439" s="61" t="inlineStr">
        <is>
          <t>[Ex 4.4] Ce (arredondado)</t>
        </is>
      </c>
      <c r="L439" s="61">
        <f>IFERROR(ROUND('05 — Balanço de Massa'!$D$82,IF('05 — Balanço de Massa'!$D$82=0,0,4-INT(LOG10(ABS('05 — Balanço de Massa'!$D$82))))),"")</f>
        <v>220</v>
      </c>
    </row>
    <row r="440">
      <c r="K440" s="61" t="inlineStr">
        <is>
          <t>[Ex 4.4] Ce (texto)</t>
        </is>
      </c>
      <c r="L440" s="61" t="str">
        <f>IF(ISNUMBER($L$439),FIXED($L$439,IF(ROUND($L$439,0)=$L$439,0,IF(ROUND($L$439,1)=$L$439,1,IF(ROUND($L$439,2)=$L$439,2,IF(ROUND($L$439,3)=$L$439,3,IF(ROUND($L$439,4)=$L$439,4,IF(ROUND($L$439,5)=$L$439,5,IF(ROUND($L$439,6)=$L$439,6,7)))))))),"?")</f>
        <v>220</v>
      </c>
    </row>
    <row r="441">
      <c r="K441" s="61" t="inlineStr">
        <is>
          <t>[Ex 4.4] Qa (arredondado)</t>
        </is>
      </c>
      <c r="L441" s="61">
        <f>IFERROR(ROUND('05 — Balanço de Massa'!$D$83,IF('05 — Balanço de Massa'!$D$83=0,0,4-INT(LOG10(ABS('05 — Balanço de Massa'!$D$83))))),"")</f>
        <v>985</v>
      </c>
    </row>
    <row r="442">
      <c r="K442" s="61" t="inlineStr">
        <is>
          <t>[Ex 4.4] Qa (texto)</t>
        </is>
      </c>
      <c r="L442" s="61" t="str">
        <f>IF(ISNUMBER($L$441),FIXED($L$441,IF(ROUND($L$441,0)=$L$441,0,IF(ROUND($L$441,1)=$L$441,1,IF(ROUND($L$441,2)=$L$441,2,IF(ROUND($L$441,3)=$L$441,3,IF(ROUND($L$441,4)=$L$441,4,IF(ROUND($L$441,5)=$L$441,5,IF(ROUND($L$441,6)=$L$441,6,7)))))))),"?")</f>
        <v>985</v>
      </c>
    </row>
    <row r="443">
      <c r="K443" s="61" t="inlineStr">
        <is>
          <t>[Ex 4.4] Qe (arredondado)</t>
        </is>
      </c>
      <c r="L443" s="61">
        <f>IFERROR(ROUND('05 — Balanço de Massa'!$D$81,IF('05 — Balanço de Massa'!$D$81=0,0,4-INT(LOG10(ABS('05 — Balanço de Massa'!$D$81))))),"")</f>
        <v>1000</v>
      </c>
    </row>
    <row r="444">
      <c r="K444" s="61" t="inlineStr">
        <is>
          <t>[Ex 4.4] Qe (texto)</t>
        </is>
      </c>
      <c r="L444" s="61" t="str">
        <f>IF(ISNUMBER($L$443),FIXED($L$443,IF(ROUND($L$443,0)=$L$443,0,IF(ROUND($L$443,1)=$L$443,1,IF(ROUND($L$443,2)=$L$443,2,IF(ROUND($L$443,3)=$L$443,3,IF(ROUND($L$443,4)=$L$443,4,IF(ROUND($L$443,5)=$L$443,5,IF(ROUND($L$443,6)=$L$443,6,7)))))))),"?")</f>
        <v>1.000</v>
      </c>
    </row>
    <row r="445">
      <c r="K445" s="61" t="inlineStr">
        <is>
          <t>[Ex 4.4] Ql (arredondado)</t>
        </is>
      </c>
      <c r="L445" s="61">
        <f>IFERROR(ROUND('05 — Balanço de Massa'!$D$85,IF('05 — Balanço de Massa'!$D$85=0,0,4-INT(LOG10(ABS('05 — Balanço de Massa'!$D$85))))),"")</f>
        <v>15</v>
      </c>
    </row>
    <row r="446">
      <c r="K446" s="61" t="inlineStr">
        <is>
          <t>[Ex 4.4] Ql (texto)</t>
        </is>
      </c>
      <c r="L446" s="61" t="str">
        <f>IF(ISNUMBER($L$445),FIXED($L$445,IF(ROUND($L$445,0)=$L$445,0,IF(ROUND($L$445,1)=$L$445,1,IF(ROUND($L$445,2)=$L$445,2,IF(ROUND($L$445,3)=$L$445,3,IF(ROUND($L$445,4)=$L$445,4,IF(ROUND($L$445,5)=$L$445,5,IF(ROUND($L$445,6)=$L$445,6,7)))))))),"?")</f>
        <v>15</v>
      </c>
    </row>
    <row r="447">
      <c r="K447" s="61" t="inlineStr">
        <is>
          <t>[Ex 4.4] Cl (arredondado)</t>
        </is>
      </c>
      <c r="L447" s="61">
        <f>IFERROR(ROUND($L$428,IF($L$428=0,0,4-INT(LOG10(ABS($L$428))))),"")</f>
        <v>13025</v>
      </c>
    </row>
    <row r="448">
      <c r="K448" s="61" t="inlineStr">
        <is>
          <t>[Ex 4.4] Cl (texto)</t>
        </is>
      </c>
      <c r="L448" s="61" t="str">
        <f>IF(ISNUMBER($L$447),FIXED($L$447,IF(ROUND($L$447,0)=$L$447,0,IF(ROUND($L$447,1)=$L$447,1,IF(ROUND($L$447,2)=$L$447,2,IF(ROUND($L$447,3)=$L$447,3,IF(ROUND($L$447,4)=$L$447,4,IF(ROUND($L$447,5)=$L$447,5,IF(ROUND($L$447,6)=$L$447,6,7)))))))),"?")</f>
        <v>13.025</v>
      </c>
    </row>
    <row r="449">
      <c r="K449" s="61" t="inlineStr">
        <is>
          <t>[Ex 4.4] QaCa (arredondado)</t>
        </is>
      </c>
      <c r="L449" s="61">
        <f>IFERROR(ROUND($L$427,IF($L$427=0,0,4-INT(LOG10(ABS($L$427))))),"")</f>
        <v>24625</v>
      </c>
    </row>
    <row r="450">
      <c r="K450" s="61" t="inlineStr">
        <is>
          <t>[Ex 4.4] QaCa (texto)</t>
        </is>
      </c>
      <c r="L450" s="61" t="str">
        <f>IF(ISNUMBER($L$449),FIXED($L$449,IF(ROUND($L$449,0)=$L$449,0,IF(ROUND($L$449,1)=$L$449,1,IF(ROUND($L$449,2)=$L$449,2,IF(ROUND($L$449,3)=$L$449,3,IF(ROUND($L$449,4)=$L$449,4,IF(ROUND($L$449,5)=$L$449,5,IF(ROUND($L$449,6)=$L$449,6,7)))))))),"?")</f>
        <v>24.625</v>
      </c>
    </row>
    <row r="451">
      <c r="K451" s="61" t="inlineStr">
        <is>
          <t>[Ex 4.4] QeCe (arredondado)</t>
        </is>
      </c>
      <c r="L451" s="61">
        <f>IFERROR(ROUND($L$426,IF($L$426=0,0,4-INT(LOG10(ABS($L$426))))),"")</f>
        <v>220000</v>
      </c>
    </row>
    <row r="452">
      <c r="K452" s="61" t="inlineStr">
        <is>
          <t>[Ex 4.4] QeCe (texto)</t>
        </is>
      </c>
      <c r="L452" s="61" t="str">
        <f>IF(ISNUMBER($L$451),FIXED($L$451,IF(ROUND($L$451,0)=$L$451,0,IF(ROUND($L$451,1)=$L$451,1,IF(ROUND($L$451,2)=$L$451,2,IF(ROUND($L$451,3)=$L$451,3,IF(ROUND($L$451,4)=$L$451,4,IF(ROUND($L$451,5)=$L$451,5,IF(ROUND($L$451,6)=$L$451,6,7)))))))),"?")</f>
        <v>220.000</v>
      </c>
    </row>
    <row r="453">
      <c r="K453" s="61" t="inlineStr">
        <is>
          <t>[Ex 4.4] QaQl (arredondado)</t>
        </is>
      </c>
      <c r="L453" s="61">
        <f>IFERROR(ROUND($L$432,IF($L$432=0,0,4-INT(LOG10(ABS($L$432))))),"")</f>
        <v>1000</v>
      </c>
    </row>
    <row r="454">
      <c r="K454" s="61" t="inlineStr">
        <is>
          <t>[Ex 4.4] QaQl (texto)</t>
        </is>
      </c>
      <c r="L454" s="61" t="str">
        <f>IF(ISNUMBER($L$453),FIXED($L$453,IF(ROUND($L$453,0)=$L$453,0,IF(ROUND($L$453,1)=$L$453,1,IF(ROUND($L$453,2)=$L$453,2,IF(ROUND($L$453,3)=$L$453,3,IF(ROUND($L$453,4)=$L$453,4,IF(ROUND($L$453,5)=$L$453,5,IF(ROUND($L$453,6)=$L$453,6,7)))))))),"?")</f>
        <v>1.000</v>
      </c>
    </row>
    <row r="455">
      <c r="K455" s="61" t="inlineStr">
        <is>
          <t>[Ex 4.4] dQ (arredondado)</t>
        </is>
      </c>
      <c r="L455" s="61">
        <f>IFERROR(ROUND($L$433,IF($L$433=0,0,4-INT(LOG10(ABS($L$433))))),"")</f>
        <v>0</v>
      </c>
    </row>
    <row r="456">
      <c r="K456" s="61" t="inlineStr">
        <is>
          <t>[Ex 4.4] dQ (texto)</t>
        </is>
      </c>
      <c r="L456" s="61" t="str">
        <f>IF(ISNUMBER($L$455),FIXED($L$455,IF(ROUND($L$455,0)=$L$455,0,IF(ROUND($L$455,1)=$L$455,1,IF(ROUND($L$455,2)=$L$455,2,IF(ROUND($L$455,3)=$L$455,3,IF(ROUND($L$455,4)=$L$455,4,IF(ROUND($L$455,5)=$L$455,5,IF(ROUND($L$455,6)=$L$455,6,7)))))))),"?")</f>
        <v>0</v>
      </c>
    </row>
    <row r="457">
      <c r="K457" s="61" t="inlineStr">
        <is>
          <t>[Ex 4.4] razao (arredondado)</t>
        </is>
      </c>
      <c r="L457" s="61">
        <f>IFERROR(ROUND($L$436,IF($L$436=0,0,4-INT(LOG10(ABS($L$436))))),"")</f>
        <v>59.2</v>
      </c>
    </row>
    <row r="458">
      <c r="K458" s="61" t="inlineStr">
        <is>
          <t>[Ex 4.4] razao (texto)</t>
        </is>
      </c>
      <c r="L458" s="61" t="str">
        <f>IF(ISNUMBER($L$457),FIXED($L$457,IF(ROUND($L$457,0)=$L$457,0,IF(ROUND($L$457,1)=$L$457,1,IF(ROUND($L$457,2)=$L$457,2,IF(ROUND($L$457,3)=$L$457,3,IF(ROUND($L$457,4)=$L$457,4,IF(ROUND($L$457,5)=$L$457,5,IF(ROUND($L$457,6)=$L$457,6,7)))))))),"?")</f>
        <v>59,2</v>
      </c>
    </row>
    <row r="459">
      <c r="K459" s="61" t="inlineStr">
        <is>
          <t>[Ex 4.5] A</t>
        </is>
      </c>
      <c r="L459" s="61">
        <f>IFERROR('05 — Balanço de Massa'!$C$135-'05 — Balanço de Massa'!$C$136+'05 — Balanço de Massa'!$C$137-'05 — Balanço de Massa'!$C$138,"")</f>
        <v>80</v>
      </c>
    </row>
    <row r="460">
      <c r="K460" s="61" t="inlineStr">
        <is>
          <t>[Ex 4.5] negA</t>
        </is>
      </c>
      <c r="L460" s="61">
        <f>IFERROR(-$L$459,"")</f>
        <v>-80</v>
      </c>
    </row>
    <row r="461">
      <c r="K461" s="61" t="inlineStr">
        <is>
          <t>[Ex 4.5] tin</t>
        </is>
      </c>
      <c r="L461" s="61">
        <f>IFERROR('05 — Balanço de Massa'!$C$135+'05 — Balanço de Massa'!$C$137,"")</f>
        <v>100</v>
      </c>
    </row>
    <row r="462">
      <c r="K462" s="61" t="inlineStr">
        <is>
          <t>[Ex 4.5] tout</t>
        </is>
      </c>
      <c r="L462" s="61">
        <f>IFERROR('05 — Balanço de Massa'!$C$136+'05 — Balanço de Massa'!$C$138,"")</f>
        <v>20</v>
      </c>
    </row>
    <row r="463">
      <c r="K463" s="61" t="inlineStr">
        <is>
          <t>[Ex 4.5] Cn (arredondado)</t>
        </is>
      </c>
      <c r="L463" s="61">
        <f>IFERROR(ROUND('05 — Balanço de Massa'!$C$138,IF('05 — Balanço de Massa'!$C$138=0,0,4-INT(LOG10(ABS('05 — Balanço de Massa'!$C$138))))),"")</f>
        <v>0</v>
      </c>
    </row>
    <row r="464">
      <c r="K464" s="61" t="inlineStr">
        <is>
          <t>[Ex 4.5] Cn (texto)</t>
        </is>
      </c>
      <c r="L464" s="61" t="str">
        <f>IF(ISNUMBER($L$463),FIXED($L$463,IF(ROUND($L$463,0)=$L$463,0,IF(ROUND($L$463,1)=$L$463,1,IF(ROUND($L$463,2)=$L$463,2,IF(ROUND($L$463,3)=$L$463,3,IF(ROUND($L$463,4)=$L$463,4,IF(ROUND($L$463,5)=$L$463,5,IF(ROUND($L$463,6)=$L$463,6,7)))))))),"?")</f>
        <v>0</v>
      </c>
    </row>
    <row r="465">
      <c r="K465" s="61" t="inlineStr">
        <is>
          <t>[Ex 4.5] E (arredondado)</t>
        </is>
      </c>
      <c r="L465" s="61">
        <f>IFERROR(ROUND('05 — Balanço de Massa'!$C$135,IF('05 — Balanço de Massa'!$C$135=0,0,4-INT(LOG10(ABS('05 — Balanço de Massa'!$C$135))))),"")</f>
        <v>100</v>
      </c>
    </row>
    <row r="466">
      <c r="K466" s="61" t="inlineStr">
        <is>
          <t>[Ex 4.5] E (texto)</t>
        </is>
      </c>
      <c r="L466" s="61" t="str">
        <f>IF(ISNUMBER($L$465),FIXED($L$465,IF(ROUND($L$465,0)=$L$465,0,IF(ROUND($L$465,1)=$L$465,1,IF(ROUND($L$465,2)=$L$465,2,IF(ROUND($L$465,3)=$L$465,3,IF(ROUND($L$465,4)=$L$465,4,IF(ROUND($L$465,5)=$L$465,5,IF(ROUND($L$465,6)=$L$465,6,7)))))))),"?")</f>
        <v>100</v>
      </c>
    </row>
    <row r="467">
      <c r="K467" s="61" t="inlineStr">
        <is>
          <t>[Ex 4.5] G (arredondado)</t>
        </is>
      </c>
      <c r="L467" s="61">
        <f>IFERROR(ROUND('05 — Balanço de Massa'!$C$137,IF('05 — Balanço de Massa'!$C$137=0,0,4-INT(LOG10(ABS('05 — Balanço de Massa'!$C$137))))),"")</f>
        <v>0</v>
      </c>
    </row>
    <row r="468">
      <c r="K468" s="61" t="inlineStr">
        <is>
          <t>[Ex 4.5] G (texto)</t>
        </is>
      </c>
      <c r="L468" s="61" t="str">
        <f>IF(ISNUMBER($L$467),FIXED($L$467,IF(ROUND($L$467,0)=$L$467,0,IF(ROUND($L$467,1)=$L$467,1,IF(ROUND($L$467,2)=$L$467,2,IF(ROUND($L$467,3)=$L$467,3,IF(ROUND($L$467,4)=$L$467,4,IF(ROUND($L$467,5)=$L$467,5,IF(ROUND($L$467,6)=$L$467,6,7)))))))),"?")</f>
        <v>0</v>
      </c>
    </row>
    <row r="469">
      <c r="K469" s="61" t="inlineStr">
        <is>
          <t>[Ex 4.5] Sd (arredondado)</t>
        </is>
      </c>
      <c r="L469" s="61">
        <f>IFERROR(ROUND('05 — Balanço de Massa'!$C$136,IF('05 — Balanço de Massa'!$C$136=0,0,4-INT(LOG10(ABS('05 — Balanço de Massa'!$C$136))))),"")</f>
        <v>20</v>
      </c>
    </row>
    <row r="470">
      <c r="K470" s="61" t="inlineStr">
        <is>
          <t>[Ex 4.5] Sd (texto)</t>
        </is>
      </c>
      <c r="L470" s="61" t="str">
        <f>IF(ISNUMBER($L$469),FIXED($L$469,IF(ROUND($L$469,0)=$L$469,0,IF(ROUND($L$469,1)=$L$469,1,IF(ROUND($L$469,2)=$L$469,2,IF(ROUND($L$469,3)=$L$469,3,IF(ROUND($L$469,4)=$L$469,4,IF(ROUND($L$469,5)=$L$469,5,IF(ROUND($L$469,6)=$L$469,6,7)))))))),"?")</f>
        <v>20</v>
      </c>
    </row>
    <row r="471">
      <c r="K471" s="61" t="inlineStr">
        <is>
          <t>[Ex 4.5] A (arredondado)</t>
        </is>
      </c>
      <c r="L471" s="61">
        <f>IFERROR(ROUND($L$459,IF($L$459=0,0,4-INT(LOG10(ABS($L$459))))),"")</f>
        <v>80</v>
      </c>
    </row>
    <row r="472">
      <c r="K472" s="61" t="inlineStr">
        <is>
          <t>[Ex 4.5] A (texto)</t>
        </is>
      </c>
      <c r="L472" s="61" t="str">
        <f>IF(ISNUMBER($L$471),FIXED($L$471,IF(ROUND($L$471,0)=$L$471,0,IF(ROUND($L$471,1)=$L$471,1,IF(ROUND($L$471,2)=$L$471,2,IF(ROUND($L$471,3)=$L$471,3,IF(ROUND($L$471,4)=$L$471,4,IF(ROUND($L$471,5)=$L$471,5,IF(ROUND($L$471,6)=$L$471,6,7)))))))),"?")</f>
        <v>80</v>
      </c>
    </row>
    <row r="473">
      <c r="K473" s="61" t="inlineStr">
        <is>
          <t>[Ex 4.5] tin (arredondado)</t>
        </is>
      </c>
      <c r="L473" s="61">
        <f>IFERROR(ROUND($L$461,IF($L$461=0,0,4-INT(LOG10(ABS($L$461))))),"")</f>
        <v>100</v>
      </c>
    </row>
    <row r="474">
      <c r="K474" s="61" t="inlineStr">
        <is>
          <t>[Ex 4.5] tin (texto)</t>
        </is>
      </c>
      <c r="L474" s="61" t="str">
        <f>IF(ISNUMBER($L$473),FIXED($L$473,IF(ROUND($L$473,0)=$L$473,0,IF(ROUND($L$473,1)=$L$473,1,IF(ROUND($L$473,2)=$L$473,2,IF(ROUND($L$473,3)=$L$473,3,IF(ROUND($L$473,4)=$L$473,4,IF(ROUND($L$473,5)=$L$473,5,IF(ROUND($L$473,6)=$L$473,6,7)))))))),"?")</f>
        <v>100</v>
      </c>
    </row>
    <row r="475">
      <c r="K475" s="61" t="inlineStr">
        <is>
          <t>[Ex 4.5] tout (arredondado)</t>
        </is>
      </c>
      <c r="L475" s="61">
        <f>IFERROR(ROUND($L$462,IF($L$462=0,0,4-INT(LOG10(ABS($L$462))))),"")</f>
        <v>20</v>
      </c>
    </row>
    <row r="476">
      <c r="K476" s="61" t="inlineStr">
        <is>
          <t>[Ex 4.5] tout (texto)</t>
        </is>
      </c>
      <c r="L476" s="61" t="str">
        <f>IF(ISNUMBER($L$475),FIXED($L$475,IF(ROUND($L$475,0)=$L$475,0,IF(ROUND($L$475,1)=$L$475,1,IF(ROUND($L$475,2)=$L$475,2,IF(ROUND($L$475,3)=$L$475,3,IF(ROUND($L$475,4)=$L$475,4,IF(ROUND($L$475,5)=$L$475,5,IF(ROUND($L$475,6)=$L$475,6,7)))))))),"?")</f>
        <v>20</v>
      </c>
    </row>
    <row r="477">
      <c r="K477" s="61" t="inlineStr">
        <is>
          <t>[Ex 4.5] negA (arredondado)</t>
        </is>
      </c>
      <c r="L477" s="61">
        <f>IFERROR(ROUND($L$460,IF($L$460=0,0,4-INT(LOG10(ABS($L$460))))),"")</f>
        <v>-80</v>
      </c>
    </row>
    <row r="478">
      <c r="K478" s="61" t="inlineStr">
        <is>
          <t>[Ex 4.5] negA (texto)</t>
        </is>
      </c>
      <c r="L478" s="61" t="str">
        <f>IF(ISNUMBER($L$477),FIXED($L$477,IF(ROUND($L$477,0)=$L$477,0,IF(ROUND($L$477,1)=$L$477,1,IF(ROUND($L$477,2)=$L$477,2,IF(ROUND($L$477,3)=$L$477,3,IF(ROUND($L$477,4)=$L$477,4,IF(ROUND($L$477,5)=$L$477,5,IF(ROUND($L$477,6)=$L$477,6,7)))))))),"?")</f>
        <v>-80</v>
      </c>
    </row>
    <row r="479">
      <c r="K479" s="61" t="inlineStr">
        <is>
          <t>[Ex 4.6] A</t>
        </is>
      </c>
      <c r="L479" s="61">
        <f>IFERROR('05 — Balanço de Massa'!$D$135-'05 — Balanço de Massa'!$D$136+'05 — Balanço de Massa'!$D$137-'05 — Balanço de Massa'!$D$138,"")</f>
        <v>-5</v>
      </c>
    </row>
    <row r="480">
      <c r="K480" s="61" t="inlineStr">
        <is>
          <t>[Ex 4.6] negA</t>
        </is>
      </c>
      <c r="L480" s="61">
        <f>IFERROR(-$L$479,"")</f>
        <v>5</v>
      </c>
    </row>
    <row r="481">
      <c r="K481" s="61" t="inlineStr">
        <is>
          <t>[Ex 4.6] tin</t>
        </is>
      </c>
      <c r="L481" s="61">
        <f>IFERROR('05 — Balanço de Massa'!$D$135+'05 — Balanço de Massa'!$D$137,"")</f>
        <v>50</v>
      </c>
    </row>
    <row r="482">
      <c r="K482" s="61" t="inlineStr">
        <is>
          <t>[Ex 4.6] tout</t>
        </is>
      </c>
      <c r="L482" s="61">
        <f>IFERROR('05 — Balanço de Massa'!$D$136+'05 — Balanço de Massa'!$D$138,"")</f>
        <v>55</v>
      </c>
    </row>
    <row r="483">
      <c r="K483" s="61" t="inlineStr">
        <is>
          <t>[Ex 4.6] Cn (arredondado)</t>
        </is>
      </c>
      <c r="L483" s="61">
        <f>IFERROR(ROUND('05 — Balanço de Massa'!$D$138,IF('05 — Balanço de Massa'!$D$138=0,0,4-INT(LOG10(ABS('05 — Balanço de Massa'!$D$138))))),"")</f>
        <v>45</v>
      </c>
    </row>
    <row r="484">
      <c r="K484" s="61" t="inlineStr">
        <is>
          <t>[Ex 4.6] Cn (texto)</t>
        </is>
      </c>
      <c r="L484" s="61" t="str">
        <f>IF(ISNUMBER($L$483),FIXED($L$483,IF(ROUND($L$483,0)=$L$483,0,IF(ROUND($L$483,1)=$L$483,1,IF(ROUND($L$483,2)=$L$483,2,IF(ROUND($L$483,3)=$L$483,3,IF(ROUND($L$483,4)=$L$483,4,IF(ROUND($L$483,5)=$L$483,5,IF(ROUND($L$483,6)=$L$483,6,7)))))))),"?")</f>
        <v>45</v>
      </c>
    </row>
    <row r="485">
      <c r="K485" s="61" t="inlineStr">
        <is>
          <t>[Ex 4.6] E (arredondado)</t>
        </is>
      </c>
      <c r="L485" s="61">
        <f>IFERROR(ROUND('05 — Balanço de Massa'!$D$135,IF('05 — Balanço de Massa'!$D$135=0,0,4-INT(LOG10(ABS('05 — Balanço de Massa'!$D$135))))),"")</f>
        <v>50</v>
      </c>
    </row>
    <row r="486">
      <c r="K486" s="61" t="inlineStr">
        <is>
          <t>[Ex 4.6] E (texto)</t>
        </is>
      </c>
      <c r="L486" s="61" t="str">
        <f>IF(ISNUMBER($L$485),FIXED($L$485,IF(ROUND($L$485,0)=$L$485,0,IF(ROUND($L$485,1)=$L$485,1,IF(ROUND($L$485,2)=$L$485,2,IF(ROUND($L$485,3)=$L$485,3,IF(ROUND($L$485,4)=$L$485,4,IF(ROUND($L$485,5)=$L$485,5,IF(ROUND($L$485,6)=$L$485,6,7)))))))),"?")</f>
        <v>50</v>
      </c>
    </row>
    <row r="487">
      <c r="K487" s="61" t="inlineStr">
        <is>
          <t>[Ex 4.6] G (arredondado)</t>
        </is>
      </c>
      <c r="L487" s="61">
        <f>IFERROR(ROUND('05 — Balanço de Massa'!$D$137,IF('05 — Balanço de Massa'!$D$137=0,0,4-INT(LOG10(ABS('05 — Balanço de Massa'!$D$137))))),"")</f>
        <v>0</v>
      </c>
    </row>
    <row r="488">
      <c r="K488" s="61" t="inlineStr">
        <is>
          <t>[Ex 4.6] G (texto)</t>
        </is>
      </c>
      <c r="L488" s="61" t="str">
        <f>IF(ISNUMBER($L$487),FIXED($L$487,IF(ROUND($L$487,0)=$L$487,0,IF(ROUND($L$487,1)=$L$487,1,IF(ROUND($L$487,2)=$L$487,2,IF(ROUND($L$487,3)=$L$487,3,IF(ROUND($L$487,4)=$L$487,4,IF(ROUND($L$487,5)=$L$487,5,IF(ROUND($L$487,6)=$L$487,6,7)))))))),"?")</f>
        <v>0</v>
      </c>
    </row>
    <row r="489">
      <c r="K489" s="61" t="inlineStr">
        <is>
          <t>[Ex 4.6] Sd (arredondado)</t>
        </is>
      </c>
      <c r="L489" s="61">
        <f>IFERROR(ROUND('05 — Balanço de Massa'!$D$136,IF('05 — Balanço de Massa'!$D$136=0,0,4-INT(LOG10(ABS('05 — Balanço de Massa'!$D$136))))),"")</f>
        <v>10</v>
      </c>
    </row>
    <row r="490">
      <c r="K490" s="61" t="inlineStr">
        <is>
          <t>[Ex 4.6] Sd (texto)</t>
        </is>
      </c>
      <c r="L490" s="61" t="str">
        <f>IF(ISNUMBER($L$489),FIXED($L$489,IF(ROUND($L$489,0)=$L$489,0,IF(ROUND($L$489,1)=$L$489,1,IF(ROUND($L$489,2)=$L$489,2,IF(ROUND($L$489,3)=$L$489,3,IF(ROUND($L$489,4)=$L$489,4,IF(ROUND($L$489,5)=$L$489,5,IF(ROUND($L$489,6)=$L$489,6,7)))))))),"?")</f>
        <v>10</v>
      </c>
    </row>
    <row r="491">
      <c r="K491" s="61" t="inlineStr">
        <is>
          <t>[Ex 4.6] A (arredondado)</t>
        </is>
      </c>
      <c r="L491" s="61">
        <f>IFERROR(ROUND($L$479,IF($L$479=0,0,4-INT(LOG10(ABS($L$479))))),"")</f>
        <v>-5</v>
      </c>
    </row>
    <row r="492">
      <c r="K492" s="61" t="inlineStr">
        <is>
          <t>[Ex 4.6] A (texto)</t>
        </is>
      </c>
      <c r="L492" s="61" t="str">
        <f>IF(ISNUMBER($L$491),FIXED($L$491,IF(ROUND($L$491,0)=$L$491,0,IF(ROUND($L$491,1)=$L$491,1,IF(ROUND($L$491,2)=$L$491,2,IF(ROUND($L$491,3)=$L$491,3,IF(ROUND($L$491,4)=$L$491,4,IF(ROUND($L$491,5)=$L$491,5,IF(ROUND($L$491,6)=$L$491,6,7)))))))),"?")</f>
        <v>-5</v>
      </c>
    </row>
    <row r="493">
      <c r="K493" s="61" t="inlineStr">
        <is>
          <t>[Ex 4.6] tin (arredondado)</t>
        </is>
      </c>
      <c r="L493" s="61">
        <f>IFERROR(ROUND($L$481,IF($L$481=0,0,4-INT(LOG10(ABS($L$481))))),"")</f>
        <v>50</v>
      </c>
    </row>
    <row r="494">
      <c r="K494" s="61" t="inlineStr">
        <is>
          <t>[Ex 4.6] tin (texto)</t>
        </is>
      </c>
      <c r="L494" s="61" t="str">
        <f>IF(ISNUMBER($L$493),FIXED($L$493,IF(ROUND($L$493,0)=$L$493,0,IF(ROUND($L$493,1)=$L$493,1,IF(ROUND($L$493,2)=$L$493,2,IF(ROUND($L$493,3)=$L$493,3,IF(ROUND($L$493,4)=$L$493,4,IF(ROUND($L$493,5)=$L$493,5,IF(ROUND($L$493,6)=$L$493,6,7)))))))),"?")</f>
        <v>50</v>
      </c>
    </row>
    <row r="495">
      <c r="K495" s="61" t="inlineStr">
        <is>
          <t>[Ex 4.6] tout (arredondado)</t>
        </is>
      </c>
      <c r="L495" s="61">
        <f>IFERROR(ROUND($L$482,IF($L$482=0,0,4-INT(LOG10(ABS($L$482))))),"")</f>
        <v>55</v>
      </c>
    </row>
    <row r="496">
      <c r="K496" s="61" t="inlineStr">
        <is>
          <t>[Ex 4.6] tout (texto)</t>
        </is>
      </c>
      <c r="L496" s="61" t="str">
        <f>IF(ISNUMBER($L$495),FIXED($L$495,IF(ROUND($L$495,0)=$L$495,0,IF(ROUND($L$495,1)=$L$495,1,IF(ROUND($L$495,2)=$L$495,2,IF(ROUND($L$495,3)=$L$495,3,IF(ROUND($L$495,4)=$L$495,4,IF(ROUND($L$495,5)=$L$495,5,IF(ROUND($L$495,6)=$L$495,6,7)))))))),"?")</f>
        <v>55</v>
      </c>
    </row>
    <row r="497">
      <c r="K497" s="61" t="inlineStr">
        <is>
          <t>[Ex 4.6] negA (arredondado)</t>
        </is>
      </c>
      <c r="L497" s="61">
        <f>IFERROR(ROUND($L$480,IF($L$480=0,0,4-INT(LOG10(ABS($L$480))))),"")</f>
        <v>5</v>
      </c>
    </row>
    <row r="498">
      <c r="K498" s="61" t="inlineStr">
        <is>
          <t>[Ex 4.6] negA (texto)</t>
        </is>
      </c>
      <c r="L498" s="61" t="str">
        <f>IF(ISNUMBER($L$497),FIXED($L$497,IF(ROUND($L$497,0)=$L$497,0,IF(ROUND($L$497,1)=$L$497,1,IF(ROUND($L$497,2)=$L$497,2,IF(ROUND($L$497,3)=$L$497,3,IF(ROUND($L$497,4)=$L$497,4,IF(ROUND($L$497,5)=$L$497,5,IF(ROUND($L$497,6)=$L$497,6,7)))))))),"?")</f>
        <v>5</v>
      </c>
    </row>
    <row r="499">
      <c r="K499" s="61" t="inlineStr">
        <is>
          <t>[Ex 5.1] m</t>
        </is>
      </c>
      <c r="L499" s="61">
        <f>IFERROR(IFERROR(MATCH('06 — Diluição de Soluções'!$C$23,{"V₁ (volume de estoque)","C₂ (concentração final)","V₂ (volume final)","C₁ (concentração do estoque)"},0),0),"")</f>
        <v>1</v>
      </c>
    </row>
    <row r="500">
      <c r="K500" s="61" t="inlineStr">
        <is>
          <t>[Ex 5.1] ic1</t>
        </is>
      </c>
      <c r="L500" s="61">
        <f>IFERROR(MATCH('06 — Diluição de Soluções'!$C$25,{"mg/L","g/L","µg/L","% (m/v)","mol/L","mmol/L"},0),"")</f>
        <v>1</v>
      </c>
    </row>
    <row r="501">
      <c r="K501" s="61" t="inlineStr">
        <is>
          <t>[Ex 5.1] fc1</t>
        </is>
      </c>
      <c r="L501" s="61">
        <f>IFERROR(CHOOSE($L$500,1,1000,0.001,10000,1,0.001),"")</f>
        <v>1</v>
      </c>
    </row>
    <row r="502">
      <c r="K502" s="61" t="inlineStr">
        <is>
          <t>[Ex 5.1] fam1</t>
        </is>
      </c>
      <c r="L502" s="61">
        <f>IFERROR(CHOOSE($L$500,1,1,1,1,2,2),"")</f>
        <v>1</v>
      </c>
    </row>
    <row r="503">
      <c r="K503" s="61" t="inlineStr">
        <is>
          <t>[Ex 5.1] ic2</t>
        </is>
      </c>
      <c r="L503" s="61">
        <f>IFERROR(MATCH('06 — Diluição de Soluções'!$C$29,{"mg/L","g/L","µg/L","% (m/v)","mol/L","mmol/L"},0),"")</f>
        <v>1</v>
      </c>
    </row>
    <row r="504">
      <c r="K504" s="61" t="inlineStr">
        <is>
          <t>[Ex 5.1] fc2</t>
        </is>
      </c>
      <c r="L504" s="61">
        <f>IFERROR(CHOOSE($L$503,1,1000,0.001,10000,1,0.001),"")</f>
        <v>1</v>
      </c>
    </row>
    <row r="505">
      <c r="K505" s="61" t="inlineStr">
        <is>
          <t>[Ex 5.1] fam2</t>
        </is>
      </c>
      <c r="L505" s="61">
        <f>IFERROR(CHOOSE($L$503,1,1,1,1,2,2),"")</f>
        <v>1</v>
      </c>
    </row>
    <row r="506">
      <c r="K506" s="61" t="inlineStr">
        <is>
          <t>[Ex 5.1] fv1</t>
        </is>
      </c>
      <c r="L506" s="61">
        <f>IFERROR(CHOOSE(MATCH('06 — Diluição de Soluções'!$C$27,{"mL","L","µL"},0),1,1000,0.001),"")</f>
        <v>1</v>
      </c>
    </row>
    <row r="507">
      <c r="K507" s="61" t="inlineStr">
        <is>
          <t>[Ex 5.1] fv2</t>
        </is>
      </c>
      <c r="L507" s="61">
        <f>IFERROR(CHOOSE(MATCH('06 — Diluição de Soluções'!$C$31,{"mL","L","µL"},0),1,1000,0.001),"")</f>
        <v>1</v>
      </c>
    </row>
    <row r="508">
      <c r="K508" s="61" t="inlineStr">
        <is>
          <t>[Ex 5.1] c1b</t>
        </is>
      </c>
      <c r="L508" s="61">
        <f>IFERROR(IF($L$499=4,"",'06 — Diluição de Soluções'!$C$24*$L$501),"")</f>
        <v>1000</v>
      </c>
    </row>
    <row r="509">
      <c r="K509" s="61" t="inlineStr">
        <is>
          <t>[Ex 5.1] v1b</t>
        </is>
      </c>
      <c r="L509" s="61" t="str">
        <f>IFERROR(IF($L$499=1,"",'06 — Diluição de Soluções'!$C$26*$L$506),"")</f>
        <v/>
      </c>
    </row>
    <row r="510">
      <c r="K510" s="61" t="inlineStr">
        <is>
          <t>[Ex 5.1] c2b</t>
        </is>
      </c>
      <c r="L510" s="61">
        <f>IFERROR(IF($L$499=2,"",'06 — Diluição de Soluções'!$C$28*$L$504),"")</f>
        <v>200</v>
      </c>
    </row>
    <row r="511">
      <c r="K511" s="61" t="inlineStr">
        <is>
          <t>[Ex 5.1] v2b</t>
        </is>
      </c>
      <c r="L511" s="61">
        <f>IFERROR(IF($L$499=3,"",'06 — Diluição de Soluções'!$C$30*$L$507),"")</f>
        <v>500</v>
      </c>
    </row>
    <row r="512">
      <c r="K512" s="61" t="inlineStr">
        <is>
          <t>[Ex 5.1] rb</t>
        </is>
      </c>
      <c r="L512" s="61">
        <f>IFERROR(CHOOSE($L$499,$L$510*$L$511/$L$508,$L$508*$L$509/$L$511,$L$508*$L$509/$L$510,$L$510*$L$511/$L$509),"")</f>
        <v>100</v>
      </c>
    </row>
    <row r="513">
      <c r="K513" s="61" t="inlineStr">
        <is>
          <t>[Ex 5.1] r</t>
        </is>
      </c>
      <c r="L513" s="61">
        <f>IFERROR(CHOOSE($L$499,$L$512/$L$506,$L$512/$L$504,$L$512/$L$507,$L$512/$L$501),"")</f>
        <v>100</v>
      </c>
    </row>
    <row r="514">
      <c r="K514" s="61" t="inlineStr">
        <is>
          <t>[Ex 5.1] C1f</t>
        </is>
      </c>
      <c r="L514" s="61">
        <f>IFERROR(IF($L$499=4,$L$512,$L$508),"")</f>
        <v>1000</v>
      </c>
    </row>
    <row r="515">
      <c r="K515" s="61" t="inlineStr">
        <is>
          <t>[Ex 5.1] V1f</t>
        </is>
      </c>
      <c r="L515" s="61">
        <f>IFERROR(IF($L$499=1,$L$512,$L$509),"")</f>
        <v>100</v>
      </c>
    </row>
    <row r="516">
      <c r="K516" s="61" t="inlineStr">
        <is>
          <t>[Ex 5.1] C2f</t>
        </is>
      </c>
      <c r="L516" s="61">
        <f>IFERROR(IF($L$499=2,$L$512,$L$510),"")</f>
        <v>200</v>
      </c>
    </row>
    <row r="517">
      <c r="K517" s="61" t="inlineStr">
        <is>
          <t>[Ex 5.1] V2f</t>
        </is>
      </c>
      <c r="L517" s="61">
        <f>IFERROR(IF($L$499=3,$L$512,$L$511),"")</f>
        <v>500</v>
      </c>
    </row>
    <row r="518">
      <c r="K518" s="61" t="inlineStr">
        <is>
          <t>[Ex 5.1] C1u</t>
        </is>
      </c>
      <c r="L518" s="61">
        <f>IFERROR($L$514/$L$501,"")</f>
        <v>1000</v>
      </c>
    </row>
    <row r="519">
      <c r="K519" s="61" t="inlineStr">
        <is>
          <t>[Ex 5.1] V1u</t>
        </is>
      </c>
      <c r="L519" s="61">
        <f>IFERROR($L$515/$L$506,"")</f>
        <v>100</v>
      </c>
    </row>
    <row r="520">
      <c r="K520" s="61" t="inlineStr">
        <is>
          <t>[Ex 5.1] C2u</t>
        </is>
      </c>
      <c r="L520" s="61">
        <f>IFERROR($L$516/$L$504,"")</f>
        <v>200</v>
      </c>
    </row>
    <row r="521">
      <c r="K521" s="61" t="inlineStr">
        <is>
          <t>[Ex 5.1] V2u</t>
        </is>
      </c>
      <c r="L521" s="61">
        <f>IFERROR($L$517/$L$507,"")</f>
        <v>500</v>
      </c>
    </row>
    <row r="522">
      <c r="K522" s="61" t="inlineStr">
        <is>
          <t>[Ex 5.1] solvml</t>
        </is>
      </c>
      <c r="L522" s="61">
        <f>IFERROR($L$517-$L$515,"")</f>
        <v>400</v>
      </c>
    </row>
    <row r="523">
      <c r="K523" s="61" t="inlineStr">
        <is>
          <t>[Ex 5.1] solv</t>
        </is>
      </c>
      <c r="L523" s="61">
        <f>IFERROR($L$522/$L$507,"")</f>
        <v>400</v>
      </c>
    </row>
    <row r="524">
      <c r="K524" s="61" t="inlineStr">
        <is>
          <t>[Ex 5.1] fd</t>
        </is>
      </c>
      <c r="L524" s="61">
        <f>IFERROR($L$514/$L$516,"")</f>
        <v>5</v>
      </c>
    </row>
    <row r="525">
      <c r="K525" s="61" t="inlineStr">
        <is>
          <t>[Ex 5.1] bu</t>
        </is>
      </c>
      <c r="L525" s="61" t="str">
        <f>IFERROR(IF($L$502=1,"mg/L","mol/L"),"")</f>
        <v>mg/L</v>
      </c>
    </row>
    <row r="526">
      <c r="K526" s="61" t="inlineStr">
        <is>
          <t>[Ex 5.1] rlabel</t>
        </is>
      </c>
      <c r="L526" s="61" t="str">
        <f>IFERROR(CHOOSE($L$499,"VOLUME DE ESTOQUE (V₁)","CONCENTRAÇÃO FINAL (C₂)","VOLUME FINAL (V₂)","CONCENTRAÇÃO DO ESTOQUE (C₁)"),"")</f>
        <v>VOLUME DE ESTOQUE (V₁)</v>
      </c>
    </row>
    <row r="527">
      <c r="K527" s="61" t="inlineStr">
        <is>
          <t>[Ex 5.1] rsym</t>
        </is>
      </c>
      <c r="L527" s="61" t="str">
        <f>IFERROR(CHOOSE($L$499,"V₁","C₂","V₂","C₁"),"")</f>
        <v>V₁</v>
      </c>
    </row>
    <row r="528">
      <c r="K528" s="61" t="inlineStr">
        <is>
          <t>[Ex 5.1] runit</t>
        </is>
      </c>
      <c r="L528" s="61" t="str">
        <f>IFERROR(CHOOSE($L$499,'06 — Diluição de Soluções'!$C$27,'06 — Diluição de Soluções'!$C$29,'06 — Diluição de Soluções'!$C$31,'06 — Diluição de Soluções'!$C$25),"")</f>
        <v>mL</v>
      </c>
    </row>
    <row r="529">
      <c r="K529" s="61" t="inlineStr">
        <is>
          <t>[Ex 5.1] C1 (arredondado)</t>
        </is>
      </c>
      <c r="L529" s="61">
        <f>IFERROR(ROUND('06 — Diluição de Soluções'!$C$24,IF('06 — Diluição de Soluções'!$C$24=0,0,4-INT(LOG10(ABS('06 — Diluição de Soluções'!$C$24))))),"")</f>
        <v>1000</v>
      </c>
    </row>
    <row r="530">
      <c r="K530" s="61" t="inlineStr">
        <is>
          <t>[Ex 5.1] C1 (texto)</t>
        </is>
      </c>
      <c r="L530" s="61" t="str">
        <f>IF(ISNUMBER($L$529),FIXED($L$529,IF(ROUND($L$529,0)=$L$529,0,IF(ROUND($L$529,1)=$L$529,1,IF(ROUND($L$529,2)=$L$529,2,IF(ROUND($L$529,3)=$L$529,3,IF(ROUND($L$529,4)=$L$529,4,IF(ROUND($L$529,5)=$L$529,5,IF(ROUND($L$529,6)=$L$529,6,7)))))))),"?")</f>
        <v>1.000</v>
      </c>
    </row>
    <row r="531">
      <c r="K531" s="61" t="inlineStr">
        <is>
          <t>[Ex 5.1] C2 (arredondado)</t>
        </is>
      </c>
      <c r="L531" s="61">
        <f>IFERROR(ROUND('06 — Diluição de Soluções'!$C$28,IF('06 — Diluição de Soluções'!$C$28=0,0,4-INT(LOG10(ABS('06 — Diluição de Soluções'!$C$28))))),"")</f>
        <v>200</v>
      </c>
    </row>
    <row r="532">
      <c r="K532" s="61" t="inlineStr">
        <is>
          <t>[Ex 5.1] C2 (texto)</t>
        </is>
      </c>
      <c r="L532" s="61" t="str">
        <f>IF(ISNUMBER($L$531),FIXED($L$531,IF(ROUND($L$531,0)=$L$531,0,IF(ROUND($L$531,1)=$L$531,1,IF(ROUND($L$531,2)=$L$531,2,IF(ROUND($L$531,3)=$L$531,3,IF(ROUND($L$531,4)=$L$531,4,IF(ROUND($L$531,5)=$L$531,5,IF(ROUND($L$531,6)=$L$531,6,7)))))))),"?")</f>
        <v>200</v>
      </c>
    </row>
    <row r="533">
      <c r="K533" s="61" t="inlineStr">
        <is>
          <t>[Ex 5.1] V1 (arredondado)</t>
        </is>
      </c>
      <c r="L533" s="61" t="str">
        <f>IFERROR(ROUND('06 — Diluição de Soluções'!$C$26,IF('06 — Diluição de Soluções'!$C$26=0,0,4-INT(LOG10(ABS('06 — Diluição de Soluções'!$C$26))))),"")</f>
        <v/>
      </c>
    </row>
    <row r="534">
      <c r="K534" s="61" t="inlineStr">
        <is>
          <t>[Ex 5.1] V1 (texto)</t>
        </is>
      </c>
      <c r="L534" s="61" t="str">
        <f>IF(ISNUMBER($L$533),FIXED($L$533,IF(ROUND($L$533,0)=$L$533,0,IF(ROUND($L$533,1)=$L$533,1,IF(ROUND($L$533,2)=$L$533,2,IF(ROUND($L$533,3)=$L$533,3,IF(ROUND($L$533,4)=$L$533,4,IF(ROUND($L$533,5)=$L$533,5,IF(ROUND($L$533,6)=$L$533,6,7)))))))),"?")</f>
        <v>?</v>
      </c>
    </row>
    <row r="535">
      <c r="K535" s="61" t="inlineStr">
        <is>
          <t>[Ex 5.1] V2 (arredondado)</t>
        </is>
      </c>
      <c r="L535" s="61">
        <f>IFERROR(ROUND('06 — Diluição de Soluções'!$C$30,IF('06 — Diluição de Soluções'!$C$30=0,0,4-INT(LOG10(ABS('06 — Diluição de Soluções'!$C$30))))),"")</f>
        <v>500</v>
      </c>
    </row>
    <row r="536">
      <c r="K536" s="61" t="inlineStr">
        <is>
          <t>[Ex 5.1] V2 (texto)</t>
        </is>
      </c>
      <c r="L536" s="61" t="str">
        <f>IF(ISNUMBER($L$535),FIXED($L$535,IF(ROUND($L$535,0)=$L$535,0,IF(ROUND($L$535,1)=$L$535,1,IF(ROUND($L$535,2)=$L$535,2,IF(ROUND($L$535,3)=$L$535,3,IF(ROUND($L$535,4)=$L$535,4,IF(ROUND($L$535,5)=$L$535,5,IF(ROUND($L$535,6)=$L$535,6,7)))))))),"?")</f>
        <v>500</v>
      </c>
    </row>
    <row r="537">
      <c r="K537" s="61" t="inlineStr">
        <is>
          <t>[Ex 5.1] C1f (arredondado)</t>
        </is>
      </c>
      <c r="L537" s="61">
        <f>IFERROR(ROUND($L$514,IF($L$514=0,0,4-INT(LOG10(ABS($L$514))))),"")</f>
        <v>1000</v>
      </c>
    </row>
    <row r="538">
      <c r="K538" s="61" t="inlineStr">
        <is>
          <t>[Ex 5.1] C1f (texto)</t>
        </is>
      </c>
      <c r="L538" s="61" t="str">
        <f>IF(ISNUMBER($L$537),FIXED($L$537,IF(ROUND($L$537,0)=$L$537,0,IF(ROUND($L$537,1)=$L$537,1,IF(ROUND($L$537,2)=$L$537,2,IF(ROUND($L$537,3)=$L$537,3,IF(ROUND($L$537,4)=$L$537,4,IF(ROUND($L$537,5)=$L$537,5,IF(ROUND($L$537,6)=$L$537,6,7)))))))),"?")</f>
        <v>1.000</v>
      </c>
    </row>
    <row r="539">
      <c r="K539" s="61" t="inlineStr">
        <is>
          <t>[Ex 5.1] C2f (arredondado)</t>
        </is>
      </c>
      <c r="L539" s="61">
        <f>IFERROR(ROUND($L$516,IF($L$516=0,0,4-INT(LOG10(ABS($L$516))))),"")</f>
        <v>200</v>
      </c>
    </row>
    <row r="540">
      <c r="K540" s="61" t="inlineStr">
        <is>
          <t>[Ex 5.1] C2f (texto)</t>
        </is>
      </c>
      <c r="L540" s="61" t="str">
        <f>IF(ISNUMBER($L$539),FIXED($L$539,IF(ROUND($L$539,0)=$L$539,0,IF(ROUND($L$539,1)=$L$539,1,IF(ROUND($L$539,2)=$L$539,2,IF(ROUND($L$539,3)=$L$539,3,IF(ROUND($L$539,4)=$L$539,4,IF(ROUND($L$539,5)=$L$539,5,IF(ROUND($L$539,6)=$L$539,6,7)))))))),"?")</f>
        <v>200</v>
      </c>
    </row>
    <row r="541">
      <c r="K541" s="61" t="inlineStr">
        <is>
          <t>[Ex 5.1] V1f (arredondado)</t>
        </is>
      </c>
      <c r="L541" s="61">
        <f>IFERROR(ROUND($L$515,IF($L$515=0,0,4-INT(LOG10(ABS($L$515))))),"")</f>
        <v>100</v>
      </c>
    </row>
    <row r="542">
      <c r="K542" s="61" t="inlineStr">
        <is>
          <t>[Ex 5.1] V1f (texto)</t>
        </is>
      </c>
      <c r="L542" s="61" t="str">
        <f>IF(ISNUMBER($L$541),FIXED($L$541,IF(ROUND($L$541,0)=$L$541,0,IF(ROUND($L$541,1)=$L$541,1,IF(ROUND($L$541,2)=$L$541,2,IF(ROUND($L$541,3)=$L$541,3,IF(ROUND($L$541,4)=$L$541,4,IF(ROUND($L$541,5)=$L$541,5,IF(ROUND($L$541,6)=$L$541,6,7)))))))),"?")</f>
        <v>100</v>
      </c>
    </row>
    <row r="543">
      <c r="K543" s="61" t="inlineStr">
        <is>
          <t>[Ex 5.1] V2f (arredondado)</t>
        </is>
      </c>
      <c r="L543" s="61">
        <f>IFERROR(ROUND($L$517,IF($L$517=0,0,4-INT(LOG10(ABS($L$517))))),"")</f>
        <v>500</v>
      </c>
    </row>
    <row r="544">
      <c r="K544" s="61" t="inlineStr">
        <is>
          <t>[Ex 5.1] V2f (texto)</t>
        </is>
      </c>
      <c r="L544" s="61" t="str">
        <f>IF(ISNUMBER($L$543),FIXED($L$543,IF(ROUND($L$543,0)=$L$543,0,IF(ROUND($L$543,1)=$L$543,1,IF(ROUND($L$543,2)=$L$543,2,IF(ROUND($L$543,3)=$L$543,3,IF(ROUND($L$543,4)=$L$543,4,IF(ROUND($L$543,5)=$L$543,5,IF(ROUND($L$543,6)=$L$543,6,7)))))))),"?")</f>
        <v>500</v>
      </c>
    </row>
    <row r="545">
      <c r="K545" s="61" t="inlineStr">
        <is>
          <t>[Ex 5.1] r (arredondado)</t>
        </is>
      </c>
      <c r="L545" s="61">
        <f>IFERROR(ROUND($L$513,IF($L$513=0,0,4-INT(LOG10(ABS($L$513))))),"")</f>
        <v>100</v>
      </c>
    </row>
    <row r="546">
      <c r="K546" s="61" t="inlineStr">
        <is>
          <t>[Ex 5.1] r (texto)</t>
        </is>
      </c>
      <c r="L546" s="61" t="str">
        <f>IF(ISNUMBER($L$545),FIXED($L$545,IF(ROUND($L$545,0)=$L$545,0,IF(ROUND($L$545,1)=$L$545,1,IF(ROUND($L$545,2)=$L$545,2,IF(ROUND($L$545,3)=$L$545,3,IF(ROUND($L$545,4)=$L$545,4,IF(ROUND($L$545,5)=$L$545,5,IF(ROUND($L$545,6)=$L$545,6,7)))))))),"?")</f>
        <v>100</v>
      </c>
    </row>
    <row r="547">
      <c r="K547" s="61" t="inlineStr">
        <is>
          <t>[Ex 5.1] solvml (arredondado)</t>
        </is>
      </c>
      <c r="L547" s="61">
        <f>IFERROR(ROUND($L$522,IF($L$522=0,0,4-INT(LOG10(ABS($L$522))))),"")</f>
        <v>400</v>
      </c>
    </row>
    <row r="548">
      <c r="K548" s="61" t="inlineStr">
        <is>
          <t>[Ex 5.1] solvml (texto)</t>
        </is>
      </c>
      <c r="L548" s="61" t="str">
        <f>IF(ISNUMBER($L$547),FIXED($L$547,IF(ROUND($L$547,0)=$L$547,0,IF(ROUND($L$547,1)=$L$547,1,IF(ROUND($L$547,2)=$L$547,2,IF(ROUND($L$547,3)=$L$547,3,IF(ROUND($L$547,4)=$L$547,4,IF(ROUND($L$547,5)=$L$547,5,IF(ROUND($L$547,6)=$L$547,6,7)))))))),"?")</f>
        <v>400</v>
      </c>
    </row>
    <row r="549">
      <c r="K549" s="61" t="inlineStr">
        <is>
          <t>[Ex 5.1] solv (arredondado)</t>
        </is>
      </c>
      <c r="L549" s="61">
        <f>IFERROR(ROUND($L$523,IF($L$523=0,0,4-INT(LOG10(ABS($L$523))))),"")</f>
        <v>400</v>
      </c>
    </row>
    <row r="550">
      <c r="K550" s="61" t="inlineStr">
        <is>
          <t>[Ex 5.1] solv (texto)</t>
        </is>
      </c>
      <c r="L550" s="61" t="str">
        <f>IF(ISNUMBER($L$549),FIXED($L$549,IF(ROUND($L$549,0)=$L$549,0,IF(ROUND($L$549,1)=$L$549,1,IF(ROUND($L$549,2)=$L$549,2,IF(ROUND($L$549,3)=$L$549,3,IF(ROUND($L$549,4)=$L$549,4,IF(ROUND($L$549,5)=$L$549,5,IF(ROUND($L$549,6)=$L$549,6,7)))))))),"?")</f>
        <v>400</v>
      </c>
    </row>
    <row r="551">
      <c r="K551" s="61" t="inlineStr">
        <is>
          <t>[Ex 5.1] C1u (arredondado)</t>
        </is>
      </c>
      <c r="L551" s="61">
        <f>IFERROR(ROUND($L$518,IF($L$518=0,0,4-INT(LOG10(ABS($L$518))))),"")</f>
        <v>1000</v>
      </c>
    </row>
    <row r="552">
      <c r="K552" s="61" t="inlineStr">
        <is>
          <t>[Ex 5.1] C1u (texto)</t>
        </is>
      </c>
      <c r="L552" s="61" t="str">
        <f>IF(ISNUMBER($L$551),FIXED($L$551,IF(ROUND($L$551,0)=$L$551,0,IF(ROUND($L$551,1)=$L$551,1,IF(ROUND($L$551,2)=$L$551,2,IF(ROUND($L$551,3)=$L$551,3,IF(ROUND($L$551,4)=$L$551,4,IF(ROUND($L$551,5)=$L$551,5,IF(ROUND($L$551,6)=$L$551,6,7)))))))),"?")</f>
        <v>1.000</v>
      </c>
    </row>
    <row r="553">
      <c r="K553" s="61" t="inlineStr">
        <is>
          <t>[Ex 5.1] C2u (arredondado)</t>
        </is>
      </c>
      <c r="L553" s="61">
        <f>IFERROR(ROUND($L$520,IF($L$520=0,0,4-INT(LOG10(ABS($L$520))))),"")</f>
        <v>200</v>
      </c>
    </row>
    <row r="554">
      <c r="K554" s="61" t="inlineStr">
        <is>
          <t>[Ex 5.1] C2u (texto)</t>
        </is>
      </c>
      <c r="L554" s="61" t="str">
        <f>IF(ISNUMBER($L$553),FIXED($L$553,IF(ROUND($L$553,0)=$L$553,0,IF(ROUND($L$553,1)=$L$553,1,IF(ROUND($L$553,2)=$L$553,2,IF(ROUND($L$553,3)=$L$553,3,IF(ROUND($L$553,4)=$L$553,4,IF(ROUND($L$553,5)=$L$553,5,IF(ROUND($L$553,6)=$L$553,6,7)))))))),"?")</f>
        <v>200</v>
      </c>
    </row>
    <row r="555">
      <c r="K555" s="61" t="inlineStr">
        <is>
          <t>[Ex 5.1] V1u (arredondado)</t>
        </is>
      </c>
      <c r="L555" s="61">
        <f>IFERROR(ROUND($L$519,IF($L$519=0,0,4-INT(LOG10(ABS($L$519))))),"")</f>
        <v>100</v>
      </c>
    </row>
    <row r="556">
      <c r="K556" s="61" t="inlineStr">
        <is>
          <t>[Ex 5.1] V1u (texto)</t>
        </is>
      </c>
      <c r="L556" s="61" t="str">
        <f>IF(ISNUMBER($L$555),FIXED($L$555,IF(ROUND($L$555,0)=$L$555,0,IF(ROUND($L$555,1)=$L$555,1,IF(ROUND($L$555,2)=$L$555,2,IF(ROUND($L$555,3)=$L$555,3,IF(ROUND($L$555,4)=$L$555,4,IF(ROUND($L$555,5)=$L$555,5,IF(ROUND($L$555,6)=$L$555,6,7)))))))),"?")</f>
        <v>100</v>
      </c>
    </row>
    <row r="557">
      <c r="K557" s="61" t="inlineStr">
        <is>
          <t>[Ex 5.1] V2u (arredondado)</t>
        </is>
      </c>
      <c r="L557" s="61">
        <f>IFERROR(ROUND($L$521,IF($L$521=0,0,4-INT(LOG10(ABS($L$521))))),"")</f>
        <v>500</v>
      </c>
    </row>
    <row r="558">
      <c r="K558" s="61" t="inlineStr">
        <is>
          <t>[Ex 5.1] V2u (texto)</t>
        </is>
      </c>
      <c r="L558" s="61" t="str">
        <f>IF(ISNUMBER($L$557),FIXED($L$557,IF(ROUND($L$557,0)=$L$557,0,IF(ROUND($L$557,1)=$L$557,1,IF(ROUND($L$557,2)=$L$557,2,IF(ROUND($L$557,3)=$L$557,3,IF(ROUND($L$557,4)=$L$557,4,IF(ROUND($L$557,5)=$L$557,5,IF(ROUND($L$557,6)=$L$557,6,7)))))))),"?")</f>
        <v>500</v>
      </c>
    </row>
    <row r="559">
      <c r="K559" s="61" t="inlineStr">
        <is>
          <t>[Ex 5.2] m</t>
        </is>
      </c>
      <c r="L559" s="61">
        <f>IFERROR(IFERROR(MATCH('06 — Diluição de Soluções'!$D$23,{"V₁ (volume de estoque)","C₂ (concentração final)","V₂ (volume final)","C₁ (concentração do estoque)"},0),0),"")</f>
        <v>2</v>
      </c>
    </row>
    <row r="560">
      <c r="K560" s="61" t="inlineStr">
        <is>
          <t>[Ex 5.2] ic1</t>
        </is>
      </c>
      <c r="L560" s="61">
        <f>IFERROR(MATCH('06 — Diluição de Soluções'!$D$25,{"mg/L","g/L","µg/L","% (m/v)","mol/L","mmol/L"},0),"")</f>
        <v>2</v>
      </c>
    </row>
    <row r="561">
      <c r="K561" s="61" t="inlineStr">
        <is>
          <t>[Ex 5.2] fc1</t>
        </is>
      </c>
      <c r="L561" s="61">
        <f>IFERROR(CHOOSE($L$560,1,1000,0.001,10000,1,0.001),"")</f>
        <v>1000</v>
      </c>
    </row>
    <row r="562">
      <c r="K562" s="61" t="inlineStr">
        <is>
          <t>[Ex 5.2] fam1</t>
        </is>
      </c>
      <c r="L562" s="61">
        <f>IFERROR(CHOOSE($L$560,1,1,1,1,2,2),"")</f>
        <v>1</v>
      </c>
    </row>
    <row r="563">
      <c r="K563" s="61" t="inlineStr">
        <is>
          <t>[Ex 5.2] ic2</t>
        </is>
      </c>
      <c r="L563" s="61">
        <f>IFERROR(MATCH('06 — Diluição de Soluções'!$D$29,{"mg/L","g/L","µg/L","% (m/v)","mol/L","mmol/L"},0),"")</f>
        <v>1</v>
      </c>
    </row>
    <row r="564">
      <c r="K564" s="61" t="inlineStr">
        <is>
          <t>[Ex 5.2] fc2</t>
        </is>
      </c>
      <c r="L564" s="61">
        <f>IFERROR(CHOOSE($L$563,1,1000,0.001,10000,1,0.001),"")</f>
        <v>1</v>
      </c>
    </row>
    <row r="565">
      <c r="K565" s="61" t="inlineStr">
        <is>
          <t>[Ex 5.2] fam2</t>
        </is>
      </c>
      <c r="L565" s="61">
        <f>IFERROR(CHOOSE($L$563,1,1,1,1,2,2),"")</f>
        <v>1</v>
      </c>
    </row>
    <row r="566">
      <c r="K566" s="61" t="inlineStr">
        <is>
          <t>[Ex 5.2] fv1</t>
        </is>
      </c>
      <c r="L566" s="61">
        <f>IFERROR(CHOOSE(MATCH('06 — Diluição de Soluções'!$D$27,{"mL","L","µL"},0),1,1000,0.001),"")</f>
        <v>1</v>
      </c>
    </row>
    <row r="567">
      <c r="K567" s="61" t="inlineStr">
        <is>
          <t>[Ex 5.2] fv2</t>
        </is>
      </c>
      <c r="L567" s="61">
        <f>IFERROR(CHOOSE(MATCH('06 — Diluição de Soluções'!$D$31,{"mL","L","µL"},0),1,1000,0.001),"")</f>
        <v>1</v>
      </c>
    </row>
    <row r="568">
      <c r="K568" s="61" t="inlineStr">
        <is>
          <t>[Ex 5.2] c1b</t>
        </is>
      </c>
      <c r="L568" s="61">
        <f>IFERROR(IF($L$559=4,"",'06 — Diluição de Soluções'!$D$24*$L$561),"")</f>
        <v>1000</v>
      </c>
    </row>
    <row r="569">
      <c r="K569" s="61" t="inlineStr">
        <is>
          <t>[Ex 5.2] v1b</t>
        </is>
      </c>
      <c r="L569" s="61">
        <f>IFERROR(IF($L$559=1,"",'06 — Diluição de Soluções'!$D$26*$L$566),"")</f>
        <v>5</v>
      </c>
    </row>
    <row r="570">
      <c r="K570" s="61" t="inlineStr">
        <is>
          <t>[Ex 5.2] c2b</t>
        </is>
      </c>
      <c r="L570" s="61" t="str">
        <f>IFERROR(IF($L$559=2,"",'06 — Diluição de Soluções'!$D$28*$L$564),"")</f>
        <v/>
      </c>
    </row>
    <row r="571">
      <c r="K571" s="61" t="inlineStr">
        <is>
          <t>[Ex 5.2] v2b</t>
        </is>
      </c>
      <c r="L571" s="61">
        <f>IFERROR(IF($L$559=3,"",'06 — Diluição de Soluções'!$D$30*$L$567),"")</f>
        <v>250</v>
      </c>
    </row>
    <row r="572">
      <c r="K572" s="61" t="inlineStr">
        <is>
          <t>[Ex 5.2] rb</t>
        </is>
      </c>
      <c r="L572" s="61">
        <f>IFERROR(CHOOSE($L$559,$L$570*$L$571/$L$568,$L$568*$L$569/$L$571,$L$568*$L$569/$L$570,$L$570*$L$571/$L$569),"")</f>
        <v>20</v>
      </c>
    </row>
    <row r="573">
      <c r="K573" s="61" t="inlineStr">
        <is>
          <t>[Ex 5.2] r</t>
        </is>
      </c>
      <c r="L573" s="61">
        <f>IFERROR(CHOOSE($L$559,$L$572/$L$566,$L$572/$L$564,$L$572/$L$567,$L$572/$L$561),"")</f>
        <v>20</v>
      </c>
    </row>
    <row r="574">
      <c r="K574" s="61" t="inlineStr">
        <is>
          <t>[Ex 5.2] C1f</t>
        </is>
      </c>
      <c r="L574" s="61">
        <f>IFERROR(IF($L$559=4,$L$572,$L$568),"")</f>
        <v>1000</v>
      </c>
    </row>
    <row r="575">
      <c r="K575" s="61" t="inlineStr">
        <is>
          <t>[Ex 5.2] V1f</t>
        </is>
      </c>
      <c r="L575" s="61">
        <f>IFERROR(IF($L$559=1,$L$572,$L$569),"")</f>
        <v>5</v>
      </c>
    </row>
    <row r="576">
      <c r="K576" s="61" t="inlineStr">
        <is>
          <t>[Ex 5.2] C2f</t>
        </is>
      </c>
      <c r="L576" s="61">
        <f>IFERROR(IF($L$559=2,$L$572,$L$570),"")</f>
        <v>20</v>
      </c>
    </row>
    <row r="577">
      <c r="K577" s="61" t="inlineStr">
        <is>
          <t>[Ex 5.2] V2f</t>
        </is>
      </c>
      <c r="L577" s="61">
        <f>IFERROR(IF($L$559=3,$L$572,$L$571),"")</f>
        <v>250</v>
      </c>
    </row>
    <row r="578">
      <c r="K578" s="61" t="inlineStr">
        <is>
          <t>[Ex 5.2] C1u</t>
        </is>
      </c>
      <c r="L578" s="61">
        <f>IFERROR($L$574/$L$561,"")</f>
        <v>1</v>
      </c>
    </row>
    <row r="579">
      <c r="K579" s="61" t="inlineStr">
        <is>
          <t>[Ex 5.2] V1u</t>
        </is>
      </c>
      <c r="L579" s="61">
        <f>IFERROR($L$575/$L$566,"")</f>
        <v>5</v>
      </c>
    </row>
    <row r="580">
      <c r="K580" s="61" t="inlineStr">
        <is>
          <t>[Ex 5.2] C2u</t>
        </is>
      </c>
      <c r="L580" s="61">
        <f>IFERROR($L$576/$L$564,"")</f>
        <v>20</v>
      </c>
    </row>
    <row r="581">
      <c r="K581" s="61" t="inlineStr">
        <is>
          <t>[Ex 5.2] V2u</t>
        </is>
      </c>
      <c r="L581" s="61">
        <f>IFERROR($L$577/$L$567,"")</f>
        <v>250</v>
      </c>
    </row>
    <row r="582">
      <c r="K582" s="61" t="inlineStr">
        <is>
          <t>[Ex 5.2] solvml</t>
        </is>
      </c>
      <c r="L582" s="61">
        <f>IFERROR($L$577-$L$575,"")</f>
        <v>245</v>
      </c>
    </row>
    <row r="583">
      <c r="K583" s="61" t="inlineStr">
        <is>
          <t>[Ex 5.2] solv</t>
        </is>
      </c>
      <c r="L583" s="61">
        <f>IFERROR($L$582/$L$567,"")</f>
        <v>245</v>
      </c>
    </row>
    <row r="584">
      <c r="K584" s="61" t="inlineStr">
        <is>
          <t>[Ex 5.2] fd</t>
        </is>
      </c>
      <c r="L584" s="61">
        <f>IFERROR($L$574/$L$576,"")</f>
        <v>50</v>
      </c>
    </row>
    <row r="585">
      <c r="K585" s="61" t="inlineStr">
        <is>
          <t>[Ex 5.2] bu</t>
        </is>
      </c>
      <c r="L585" s="61" t="str">
        <f>IFERROR(IF($L$562=1,"mg/L","mol/L"),"")</f>
        <v>mg/L</v>
      </c>
    </row>
    <row r="586">
      <c r="K586" s="61" t="inlineStr">
        <is>
          <t>[Ex 5.2] rlabel</t>
        </is>
      </c>
      <c r="L586" s="61" t="str">
        <f>IFERROR(CHOOSE($L$559,"VOLUME DE ESTOQUE (V₁)","CONCENTRAÇÃO FINAL (C₂)","VOLUME FINAL (V₂)","CONCENTRAÇÃO DO ESTOQUE (C₁)"),"")</f>
        <v>CONCENTRAÇÃO FINAL (C₂)</v>
      </c>
    </row>
    <row r="587">
      <c r="K587" s="61" t="inlineStr">
        <is>
          <t>[Ex 5.2] rsym</t>
        </is>
      </c>
      <c r="L587" s="61" t="str">
        <f>IFERROR(CHOOSE($L$559,"V₁","C₂","V₂","C₁"),"")</f>
        <v>C₂</v>
      </c>
    </row>
    <row r="588">
      <c r="K588" s="61" t="inlineStr">
        <is>
          <t>[Ex 5.2] runit</t>
        </is>
      </c>
      <c r="L588" s="61" t="str">
        <f>IFERROR(CHOOSE($L$559,'06 — Diluição de Soluções'!$D$27,'06 — Diluição de Soluções'!$D$29,'06 — Diluição de Soluções'!$D$31,'06 — Diluição de Soluções'!$D$25),"")</f>
        <v>mg/L</v>
      </c>
    </row>
    <row r="589">
      <c r="K589" s="61" t="inlineStr">
        <is>
          <t>[Ex 5.2] C1 (arredondado)</t>
        </is>
      </c>
      <c r="L589" s="61">
        <f>IFERROR(ROUND('06 — Diluição de Soluções'!$D$24,IF('06 — Diluição de Soluções'!$D$24=0,0,4-INT(LOG10(ABS('06 — Diluição de Soluções'!$D$24))))),"")</f>
        <v>1</v>
      </c>
    </row>
    <row r="590">
      <c r="K590" s="61" t="inlineStr">
        <is>
          <t>[Ex 5.2] C1 (texto)</t>
        </is>
      </c>
      <c r="L590" s="61" t="str">
        <f>IF(ISNUMBER($L$589),FIXED($L$589,IF(ROUND($L$589,0)=$L$589,0,IF(ROUND($L$589,1)=$L$589,1,IF(ROUND($L$589,2)=$L$589,2,IF(ROUND($L$589,3)=$L$589,3,IF(ROUND($L$589,4)=$L$589,4,IF(ROUND($L$589,5)=$L$589,5,IF(ROUND($L$589,6)=$L$589,6,7)))))))),"?")</f>
        <v>1</v>
      </c>
    </row>
    <row r="591">
      <c r="K591" s="61" t="inlineStr">
        <is>
          <t>[Ex 5.2] C2 (arredondado)</t>
        </is>
      </c>
      <c r="L591" s="61" t="str">
        <f>IFERROR(ROUND('06 — Diluição de Soluções'!$D$28,IF('06 — Diluição de Soluções'!$D$28=0,0,4-INT(LOG10(ABS('06 — Diluição de Soluções'!$D$28))))),"")</f>
        <v/>
      </c>
    </row>
    <row r="592">
      <c r="K592" s="61" t="inlineStr">
        <is>
          <t>[Ex 5.2] C2 (texto)</t>
        </is>
      </c>
      <c r="L592" s="61" t="str">
        <f>IF(ISNUMBER($L$591),FIXED($L$591,IF(ROUND($L$591,0)=$L$591,0,IF(ROUND($L$591,1)=$L$591,1,IF(ROUND($L$591,2)=$L$591,2,IF(ROUND($L$591,3)=$L$591,3,IF(ROUND($L$591,4)=$L$591,4,IF(ROUND($L$591,5)=$L$591,5,IF(ROUND($L$591,6)=$L$591,6,7)))))))),"?")</f>
        <v>?</v>
      </c>
    </row>
    <row r="593">
      <c r="K593" s="61" t="inlineStr">
        <is>
          <t>[Ex 5.2] V1 (arredondado)</t>
        </is>
      </c>
      <c r="L593" s="61">
        <f>IFERROR(ROUND('06 — Diluição de Soluções'!$D$26,IF('06 — Diluição de Soluções'!$D$26=0,0,4-INT(LOG10(ABS('06 — Diluição de Soluções'!$D$26))))),"")</f>
        <v>5</v>
      </c>
    </row>
    <row r="594">
      <c r="K594" s="61" t="inlineStr">
        <is>
          <t>[Ex 5.2] V1 (texto)</t>
        </is>
      </c>
      <c r="L594" s="61" t="str">
        <f>IF(ISNUMBER($L$593),FIXED($L$593,IF(ROUND($L$593,0)=$L$593,0,IF(ROUND($L$593,1)=$L$593,1,IF(ROUND($L$593,2)=$L$593,2,IF(ROUND($L$593,3)=$L$593,3,IF(ROUND($L$593,4)=$L$593,4,IF(ROUND($L$593,5)=$L$593,5,IF(ROUND($L$593,6)=$L$593,6,7)))))))),"?")</f>
        <v>5</v>
      </c>
    </row>
    <row r="595">
      <c r="K595" s="61" t="inlineStr">
        <is>
          <t>[Ex 5.2] V2 (arredondado)</t>
        </is>
      </c>
      <c r="L595" s="61">
        <f>IFERROR(ROUND('06 — Diluição de Soluções'!$D$30,IF('06 — Diluição de Soluções'!$D$30=0,0,4-INT(LOG10(ABS('06 — Diluição de Soluções'!$D$30))))),"")</f>
        <v>250</v>
      </c>
    </row>
    <row r="596">
      <c r="K596" s="61" t="inlineStr">
        <is>
          <t>[Ex 5.2] V2 (texto)</t>
        </is>
      </c>
      <c r="L596" s="61" t="str">
        <f>IF(ISNUMBER($L$595),FIXED($L$595,IF(ROUND($L$595,0)=$L$595,0,IF(ROUND($L$595,1)=$L$595,1,IF(ROUND($L$595,2)=$L$595,2,IF(ROUND($L$595,3)=$L$595,3,IF(ROUND($L$595,4)=$L$595,4,IF(ROUND($L$595,5)=$L$595,5,IF(ROUND($L$595,6)=$L$595,6,7)))))))),"?")</f>
        <v>250</v>
      </c>
    </row>
    <row r="597">
      <c r="K597" s="61" t="inlineStr">
        <is>
          <t>[Ex 5.2] C1f (arredondado)</t>
        </is>
      </c>
      <c r="L597" s="61">
        <f>IFERROR(ROUND($L$574,IF($L$574=0,0,4-INT(LOG10(ABS($L$574))))),"")</f>
        <v>1000</v>
      </c>
    </row>
    <row r="598">
      <c r="K598" s="61" t="inlineStr">
        <is>
          <t>[Ex 5.2] C1f (texto)</t>
        </is>
      </c>
      <c r="L598" s="61" t="str">
        <f>IF(ISNUMBER($L$597),FIXED($L$597,IF(ROUND($L$597,0)=$L$597,0,IF(ROUND($L$597,1)=$L$597,1,IF(ROUND($L$597,2)=$L$597,2,IF(ROUND($L$597,3)=$L$597,3,IF(ROUND($L$597,4)=$L$597,4,IF(ROUND($L$597,5)=$L$597,5,IF(ROUND($L$597,6)=$L$597,6,7)))))))),"?")</f>
        <v>1.000</v>
      </c>
    </row>
    <row r="599">
      <c r="K599" s="61" t="inlineStr">
        <is>
          <t>[Ex 5.2] C2f (arredondado)</t>
        </is>
      </c>
      <c r="L599" s="61">
        <f>IFERROR(ROUND($L$576,IF($L$576=0,0,4-INT(LOG10(ABS($L$576))))),"")</f>
        <v>20</v>
      </c>
    </row>
    <row r="600">
      <c r="K600" s="61" t="inlineStr">
        <is>
          <t>[Ex 5.2] C2f (texto)</t>
        </is>
      </c>
      <c r="L600" s="61" t="str">
        <f>IF(ISNUMBER($L$599),FIXED($L$599,IF(ROUND($L$599,0)=$L$599,0,IF(ROUND($L$599,1)=$L$599,1,IF(ROUND($L$599,2)=$L$599,2,IF(ROUND($L$599,3)=$L$599,3,IF(ROUND($L$599,4)=$L$599,4,IF(ROUND($L$599,5)=$L$599,5,IF(ROUND($L$599,6)=$L$599,6,7)))))))),"?")</f>
        <v>20</v>
      </c>
    </row>
    <row r="601">
      <c r="K601" s="61" t="inlineStr">
        <is>
          <t>[Ex 5.2] V1f (arredondado)</t>
        </is>
      </c>
      <c r="L601" s="61">
        <f>IFERROR(ROUND($L$575,IF($L$575=0,0,4-INT(LOG10(ABS($L$575))))),"")</f>
        <v>5</v>
      </c>
    </row>
    <row r="602">
      <c r="K602" s="61" t="inlineStr">
        <is>
          <t>[Ex 5.2] V1f (texto)</t>
        </is>
      </c>
      <c r="L602" s="61" t="str">
        <f>IF(ISNUMBER($L$601),FIXED($L$601,IF(ROUND($L$601,0)=$L$601,0,IF(ROUND($L$601,1)=$L$601,1,IF(ROUND($L$601,2)=$L$601,2,IF(ROUND($L$601,3)=$L$601,3,IF(ROUND($L$601,4)=$L$601,4,IF(ROUND($L$601,5)=$L$601,5,IF(ROUND($L$601,6)=$L$601,6,7)))))))),"?")</f>
        <v>5</v>
      </c>
    </row>
    <row r="603">
      <c r="K603" s="61" t="inlineStr">
        <is>
          <t>[Ex 5.2] V2f (arredondado)</t>
        </is>
      </c>
      <c r="L603" s="61">
        <f>IFERROR(ROUND($L$577,IF($L$577=0,0,4-INT(LOG10(ABS($L$577))))),"")</f>
        <v>250</v>
      </c>
    </row>
    <row r="604">
      <c r="K604" s="61" t="inlineStr">
        <is>
          <t>[Ex 5.2] V2f (texto)</t>
        </is>
      </c>
      <c r="L604" s="61" t="str">
        <f>IF(ISNUMBER($L$603),FIXED($L$603,IF(ROUND($L$603,0)=$L$603,0,IF(ROUND($L$603,1)=$L$603,1,IF(ROUND($L$603,2)=$L$603,2,IF(ROUND($L$603,3)=$L$603,3,IF(ROUND($L$603,4)=$L$603,4,IF(ROUND($L$603,5)=$L$603,5,IF(ROUND($L$603,6)=$L$603,6,7)))))))),"?")</f>
        <v>250</v>
      </c>
    </row>
    <row r="605">
      <c r="K605" s="61" t="inlineStr">
        <is>
          <t>[Ex 5.2] r (arredondado)</t>
        </is>
      </c>
      <c r="L605" s="61">
        <f>IFERROR(ROUND($L$573,IF($L$573=0,0,4-INT(LOG10(ABS($L$573))))),"")</f>
        <v>20</v>
      </c>
    </row>
    <row r="606">
      <c r="K606" s="61" t="inlineStr">
        <is>
          <t>[Ex 5.2] r (texto)</t>
        </is>
      </c>
      <c r="L606" s="61" t="str">
        <f>IF(ISNUMBER($L$605),FIXED($L$605,IF(ROUND($L$605,0)=$L$605,0,IF(ROUND($L$605,1)=$L$605,1,IF(ROUND($L$605,2)=$L$605,2,IF(ROUND($L$605,3)=$L$605,3,IF(ROUND($L$605,4)=$L$605,4,IF(ROUND($L$605,5)=$L$605,5,IF(ROUND($L$605,6)=$L$605,6,7)))))))),"?")</f>
        <v>20</v>
      </c>
    </row>
    <row r="607">
      <c r="K607" s="61" t="inlineStr">
        <is>
          <t>[Ex 5.2] solvml (arredondado)</t>
        </is>
      </c>
      <c r="L607" s="61">
        <f>IFERROR(ROUND($L$582,IF($L$582=0,0,4-INT(LOG10(ABS($L$582))))),"")</f>
        <v>245</v>
      </c>
    </row>
    <row r="608">
      <c r="K608" s="61" t="inlineStr">
        <is>
          <t>[Ex 5.2] solvml (texto)</t>
        </is>
      </c>
      <c r="L608" s="61" t="str">
        <f>IF(ISNUMBER($L$607),FIXED($L$607,IF(ROUND($L$607,0)=$L$607,0,IF(ROUND($L$607,1)=$L$607,1,IF(ROUND($L$607,2)=$L$607,2,IF(ROUND($L$607,3)=$L$607,3,IF(ROUND($L$607,4)=$L$607,4,IF(ROUND($L$607,5)=$L$607,5,IF(ROUND($L$607,6)=$L$607,6,7)))))))),"?")</f>
        <v>245</v>
      </c>
    </row>
    <row r="609">
      <c r="K609" s="61" t="inlineStr">
        <is>
          <t>[Ex 5.2] solv (arredondado)</t>
        </is>
      </c>
      <c r="L609" s="61">
        <f>IFERROR(ROUND($L$583,IF($L$583=0,0,4-INT(LOG10(ABS($L$583))))),"")</f>
        <v>245</v>
      </c>
    </row>
    <row r="610">
      <c r="K610" s="61" t="inlineStr">
        <is>
          <t>[Ex 5.2] solv (texto)</t>
        </is>
      </c>
      <c r="L610" s="61" t="str">
        <f>IF(ISNUMBER($L$609),FIXED($L$609,IF(ROUND($L$609,0)=$L$609,0,IF(ROUND($L$609,1)=$L$609,1,IF(ROUND($L$609,2)=$L$609,2,IF(ROUND($L$609,3)=$L$609,3,IF(ROUND($L$609,4)=$L$609,4,IF(ROUND($L$609,5)=$L$609,5,IF(ROUND($L$609,6)=$L$609,6,7)))))))),"?")</f>
        <v>245</v>
      </c>
    </row>
    <row r="611">
      <c r="K611" s="61" t="inlineStr">
        <is>
          <t>[Ex 5.2] C1u (arredondado)</t>
        </is>
      </c>
      <c r="L611" s="61">
        <f>IFERROR(ROUND($L$578,IF($L$578=0,0,4-INT(LOG10(ABS($L$578))))),"")</f>
        <v>1</v>
      </c>
    </row>
    <row r="612">
      <c r="K612" s="61" t="inlineStr">
        <is>
          <t>[Ex 5.2] C1u (texto)</t>
        </is>
      </c>
      <c r="L612" s="61" t="str">
        <f>IF(ISNUMBER($L$611),FIXED($L$611,IF(ROUND($L$611,0)=$L$611,0,IF(ROUND($L$611,1)=$L$611,1,IF(ROUND($L$611,2)=$L$611,2,IF(ROUND($L$611,3)=$L$611,3,IF(ROUND($L$611,4)=$L$611,4,IF(ROUND($L$611,5)=$L$611,5,IF(ROUND($L$611,6)=$L$611,6,7)))))))),"?")</f>
        <v>1</v>
      </c>
    </row>
    <row r="613">
      <c r="K613" s="61" t="inlineStr">
        <is>
          <t>[Ex 5.2] C2u (arredondado)</t>
        </is>
      </c>
      <c r="L613" s="61">
        <f>IFERROR(ROUND($L$580,IF($L$580=0,0,4-INT(LOG10(ABS($L$580))))),"")</f>
        <v>20</v>
      </c>
    </row>
    <row r="614">
      <c r="K614" s="61" t="inlineStr">
        <is>
          <t>[Ex 5.2] C2u (texto)</t>
        </is>
      </c>
      <c r="L614" s="61" t="str">
        <f>IF(ISNUMBER($L$613),FIXED($L$613,IF(ROUND($L$613,0)=$L$613,0,IF(ROUND($L$613,1)=$L$613,1,IF(ROUND($L$613,2)=$L$613,2,IF(ROUND($L$613,3)=$L$613,3,IF(ROUND($L$613,4)=$L$613,4,IF(ROUND($L$613,5)=$L$613,5,IF(ROUND($L$613,6)=$L$613,6,7)))))))),"?")</f>
        <v>20</v>
      </c>
    </row>
    <row r="615">
      <c r="K615" s="61" t="inlineStr">
        <is>
          <t>[Ex 5.2] V1u (arredondado)</t>
        </is>
      </c>
      <c r="L615" s="61">
        <f>IFERROR(ROUND($L$579,IF($L$579=0,0,4-INT(LOG10(ABS($L$579))))),"")</f>
        <v>5</v>
      </c>
    </row>
    <row r="616">
      <c r="K616" s="61" t="inlineStr">
        <is>
          <t>[Ex 5.2] V1u (texto)</t>
        </is>
      </c>
      <c r="L616" s="61" t="str">
        <f>IF(ISNUMBER($L$615),FIXED($L$615,IF(ROUND($L$615,0)=$L$615,0,IF(ROUND($L$615,1)=$L$615,1,IF(ROUND($L$615,2)=$L$615,2,IF(ROUND($L$615,3)=$L$615,3,IF(ROUND($L$615,4)=$L$615,4,IF(ROUND($L$615,5)=$L$615,5,IF(ROUND($L$615,6)=$L$615,6,7)))))))),"?")</f>
        <v>5</v>
      </c>
    </row>
    <row r="617">
      <c r="K617" s="61" t="inlineStr">
        <is>
          <t>[Ex 5.2] V2u (arredondado)</t>
        </is>
      </c>
      <c r="L617" s="61">
        <f>IFERROR(ROUND($L$581,IF($L$581=0,0,4-INT(LOG10(ABS($L$581))))),"")</f>
        <v>250</v>
      </c>
    </row>
    <row r="618">
      <c r="K618" s="61" t="inlineStr">
        <is>
          <t>[Ex 5.2] V2u (texto)</t>
        </is>
      </c>
      <c r="L618" s="61" t="str">
        <f>IF(ISNUMBER($L$617),FIXED($L$617,IF(ROUND($L$617,0)=$L$617,0,IF(ROUND($L$617,1)=$L$617,1,IF(ROUND($L$617,2)=$L$617,2,IF(ROUND($L$617,3)=$L$617,3,IF(ROUND($L$617,4)=$L$617,4,IF(ROUND($L$617,5)=$L$617,5,IF(ROUND($L$617,6)=$L$617,6,7)))))))),"?")</f>
        <v>250</v>
      </c>
    </row>
    <row r="619">
      <c r="K619" s="61" t="inlineStr">
        <is>
          <t>[Ex 6.1] fQ</t>
        </is>
      </c>
      <c r="L619" s="61">
        <f>IFERROR(CHOOSE(MATCH('07 — Dosagem Química'!$C$25,{"m³/dia","m³/h","L/s"},0),1,24,86.4),"")</f>
        <v>1</v>
      </c>
    </row>
    <row r="620">
      <c r="K620" s="61" t="inlineStr">
        <is>
          <t>[Ex 6.1] Qd</t>
        </is>
      </c>
      <c r="L620" s="61">
        <f>IFERROR('07 — Dosagem Química'!$C$24*$L$619,"")</f>
        <v>500</v>
      </c>
    </row>
    <row r="621">
      <c r="K621" s="61" t="inlineStr">
        <is>
          <t>[Ex 6.1] frac</t>
        </is>
      </c>
      <c r="L621" s="61">
        <f>IFERROR('07 — Dosagem Química'!$C$27/100,"")</f>
        <v>0.5</v>
      </c>
    </row>
    <row r="622">
      <c r="K622" s="61" t="inlineStr">
        <is>
          <t>[Ex 6.1] ma</t>
        </is>
      </c>
      <c r="L622" s="61">
        <f>IFERROR($L$620*'07 — Dosagem Química'!$C$26*0.001,"")</f>
        <v>2</v>
      </c>
    </row>
    <row r="623">
      <c r="K623" s="61" t="inlineStr">
        <is>
          <t>[Ex 6.1] mc</t>
        </is>
      </c>
      <c r="L623" s="61">
        <f>IFERROR($L$622/$L$621,"")</f>
        <v>4</v>
      </c>
    </row>
    <row r="624">
      <c r="K624" s="61" t="inlineStr">
        <is>
          <t>[Ex 6.1] vol</t>
        </is>
      </c>
      <c r="L624" s="61">
        <f>IFERROR(IF('07 — Dosagem Química'!$C$28="","",$L$623/'07 — Dosagem Química'!$C$28),"")</f>
        <v>3.33333333333333</v>
      </c>
    </row>
    <row r="625">
      <c r="K625" s="61" t="inlineStr">
        <is>
          <t>[Ex 6.1] Dc</t>
        </is>
      </c>
      <c r="L625" s="61">
        <f>IFERROR('07 — Dosagem Química'!$C$26/$L$621,"")</f>
        <v>8</v>
      </c>
    </row>
    <row r="626">
      <c r="K626" s="61" t="inlineStr">
        <is>
          <t>[Ex 6.1] mcm</t>
        </is>
      </c>
      <c r="L626" s="61">
        <f>IFERROR($L$623*30,"")</f>
        <v>120</v>
      </c>
    </row>
    <row r="627">
      <c r="K627" s="61" t="inlineStr">
        <is>
          <t>[Ex 6.1] vol_txt</t>
        </is>
      </c>
      <c r="L627" s="61">
        <f>IFERROR(IF('07 — Dosagem Química'!$C$28="","sem densidade",$L$624),"")</f>
        <v>3.33333333333333</v>
      </c>
    </row>
    <row r="628">
      <c r="K628" s="61" t="inlineStr">
        <is>
          <t>[Ex 6.1] D (arredondado)</t>
        </is>
      </c>
      <c r="L628" s="61">
        <f>IFERROR(ROUND('07 — Dosagem Química'!$C$26,IF('07 — Dosagem Química'!$C$26=0,0,4-INT(LOG10(ABS('07 — Dosagem Química'!$C$26))))),"")</f>
        <v>4</v>
      </c>
    </row>
    <row r="629">
      <c r="K629" s="61" t="inlineStr">
        <is>
          <t>[Ex 6.1] D (texto)</t>
        </is>
      </c>
      <c r="L629" s="61" t="str">
        <f>IF(ISNUMBER($L$628),FIXED($L$628,IF(ROUND($L$628,0)=$L$628,0,IF(ROUND($L$628,1)=$L$628,1,IF(ROUND($L$628,2)=$L$628,2,IF(ROUND($L$628,3)=$L$628,3,IF(ROUND($L$628,4)=$L$628,4,IF(ROUND($L$628,5)=$L$628,5,IF(ROUND($L$628,6)=$L$628,6,7)))))))),"?")</f>
        <v>4</v>
      </c>
    </row>
    <row r="630">
      <c r="K630" s="61" t="inlineStr">
        <is>
          <t>[Ex 6.1] Q (arredondado)</t>
        </is>
      </c>
      <c r="L630" s="61">
        <f>IFERROR(ROUND('07 — Dosagem Química'!$C$24,IF('07 — Dosagem Química'!$C$24=0,0,4-INT(LOG10(ABS('07 — Dosagem Química'!$C$24))))),"")</f>
        <v>500</v>
      </c>
    </row>
    <row r="631">
      <c r="K631" s="61" t="inlineStr">
        <is>
          <t>[Ex 6.1] Q (texto)</t>
        </is>
      </c>
      <c r="L631" s="61" t="str">
        <f>IF(ISNUMBER($L$630),FIXED($L$630,IF(ROUND($L$630,0)=$L$630,0,IF(ROUND($L$630,1)=$L$630,1,IF(ROUND($L$630,2)=$L$630,2,IF(ROUND($L$630,3)=$L$630,3,IF(ROUND($L$630,4)=$L$630,4,IF(ROUND($L$630,5)=$L$630,5,IF(ROUND($L$630,6)=$L$630,6,7)))))))),"?")</f>
        <v>500</v>
      </c>
    </row>
    <row r="632">
      <c r="K632" s="61" t="inlineStr">
        <is>
          <t>[Ex 6.1] dens (arredondado)</t>
        </is>
      </c>
      <c r="L632" s="61">
        <f>IFERROR(ROUND('07 — Dosagem Química'!$C$28,IF('07 — Dosagem Química'!$C$28=0,0,4-INT(LOG10(ABS('07 — Dosagem Química'!$C$28))))),"")</f>
        <v>1.2</v>
      </c>
    </row>
    <row r="633">
      <c r="K633" s="61" t="inlineStr">
        <is>
          <t>[Ex 6.1] dens (texto)</t>
        </is>
      </c>
      <c r="L633" s="61" t="str">
        <f>IF(ISNUMBER($L$632),FIXED($L$632,IF(ROUND($L$632,0)=$L$632,0,IF(ROUND($L$632,1)=$L$632,1,IF(ROUND($L$632,2)=$L$632,2,IF(ROUND($L$632,3)=$L$632,3,IF(ROUND($L$632,4)=$L$632,4,IF(ROUND($L$632,5)=$L$632,5,IF(ROUND($L$632,6)=$L$632,6,7)))))))),"?")</f>
        <v>1,2</v>
      </c>
    </row>
    <row r="634">
      <c r="K634" s="61" t="inlineStr">
        <is>
          <t>[Ex 6.1] pct (arredondado)</t>
        </is>
      </c>
      <c r="L634" s="61">
        <f>IFERROR(ROUND('07 — Dosagem Química'!$C$27,IF('07 — Dosagem Química'!$C$27=0,0,4-INT(LOG10(ABS('07 — Dosagem Química'!$C$27))))),"")</f>
        <v>50</v>
      </c>
    </row>
    <row r="635">
      <c r="K635" s="61" t="inlineStr">
        <is>
          <t>[Ex 6.1] pct (texto)</t>
        </is>
      </c>
      <c r="L635" s="61" t="str">
        <f>IF(ISNUMBER($L$634),FIXED($L$634,IF(ROUND($L$634,0)=$L$634,0,IF(ROUND($L$634,1)=$L$634,1,IF(ROUND($L$634,2)=$L$634,2,IF(ROUND($L$634,3)=$L$634,3,IF(ROUND($L$634,4)=$L$634,4,IF(ROUND($L$634,5)=$L$634,5,IF(ROUND($L$634,6)=$L$634,6,7)))))))),"?")</f>
        <v>50</v>
      </c>
    </row>
    <row r="636">
      <c r="K636" s="61" t="inlineStr">
        <is>
          <t>[Ex 6.1] Qd (arredondado)</t>
        </is>
      </c>
      <c r="L636" s="61">
        <f>IFERROR(ROUND($L$620,IF($L$620=0,0,4-INT(LOG10(ABS($L$620))))),"")</f>
        <v>500</v>
      </c>
    </row>
    <row r="637">
      <c r="K637" s="61" t="inlineStr">
        <is>
          <t>[Ex 6.1] Qd (texto)</t>
        </is>
      </c>
      <c r="L637" s="61" t="str">
        <f>IF(ISNUMBER($L$636),FIXED($L$636,IF(ROUND($L$636,0)=$L$636,0,IF(ROUND($L$636,1)=$L$636,1,IF(ROUND($L$636,2)=$L$636,2,IF(ROUND($L$636,3)=$L$636,3,IF(ROUND($L$636,4)=$L$636,4,IF(ROUND($L$636,5)=$L$636,5,IF(ROUND($L$636,6)=$L$636,6,7)))))))),"?")</f>
        <v>500</v>
      </c>
    </row>
    <row r="638">
      <c r="K638" s="61" t="inlineStr">
        <is>
          <t>[Ex 6.1] frac (arredondado)</t>
        </is>
      </c>
      <c r="L638" s="61">
        <f>IFERROR(ROUND($L$621,IF($L$621=0,0,4-INT(LOG10(ABS($L$621))))),"")</f>
        <v>0.5</v>
      </c>
    </row>
    <row r="639">
      <c r="K639" s="61" t="inlineStr">
        <is>
          <t>[Ex 6.1] frac (texto)</t>
        </is>
      </c>
      <c r="L639" s="61" t="str">
        <f>IF(ISNUMBER($L$638),FIXED($L$638,IF(ROUND($L$638,0)=$L$638,0,IF(ROUND($L$638,1)=$L$638,1,IF(ROUND($L$638,2)=$L$638,2,IF(ROUND($L$638,3)=$L$638,3,IF(ROUND($L$638,4)=$L$638,4,IF(ROUND($L$638,5)=$L$638,5,IF(ROUND($L$638,6)=$L$638,6,7)))))))),"?")</f>
        <v>0,5</v>
      </c>
    </row>
    <row r="640">
      <c r="K640" s="61" t="inlineStr">
        <is>
          <t>[Ex 6.1] ma (arredondado)</t>
        </is>
      </c>
      <c r="L640" s="61">
        <f>IFERROR(ROUND($L$622,IF($L$622=0,0,4-INT(LOG10(ABS($L$622))))),"")</f>
        <v>2</v>
      </c>
    </row>
    <row r="641">
      <c r="K641" s="61" t="inlineStr">
        <is>
          <t>[Ex 6.1] ma (texto)</t>
        </is>
      </c>
      <c r="L641" s="61" t="str">
        <f>IF(ISNUMBER($L$640),FIXED($L$640,IF(ROUND($L$640,0)=$L$640,0,IF(ROUND($L$640,1)=$L$640,1,IF(ROUND($L$640,2)=$L$640,2,IF(ROUND($L$640,3)=$L$640,3,IF(ROUND($L$640,4)=$L$640,4,IF(ROUND($L$640,5)=$L$640,5,IF(ROUND($L$640,6)=$L$640,6,7)))))))),"?")</f>
        <v>2</v>
      </c>
    </row>
    <row r="642">
      <c r="K642" s="61" t="inlineStr">
        <is>
          <t>[Ex 6.1] mc (arredondado)</t>
        </is>
      </c>
      <c r="L642" s="61">
        <f>IFERROR(ROUND($L$623,IF($L$623=0,0,4-INT(LOG10(ABS($L$623))))),"")</f>
        <v>4</v>
      </c>
    </row>
    <row r="643">
      <c r="K643" s="61" t="inlineStr">
        <is>
          <t>[Ex 6.1] mc (texto)</t>
        </is>
      </c>
      <c r="L643" s="61" t="str">
        <f>IF(ISNUMBER($L$642),FIXED($L$642,IF(ROUND($L$642,0)=$L$642,0,IF(ROUND($L$642,1)=$L$642,1,IF(ROUND($L$642,2)=$L$642,2,IF(ROUND($L$642,3)=$L$642,3,IF(ROUND($L$642,4)=$L$642,4,IF(ROUND($L$642,5)=$L$642,5,IF(ROUND($L$642,6)=$L$642,6,7)))))))),"?")</f>
        <v>4</v>
      </c>
    </row>
    <row r="644">
      <c r="K644" s="61" t="inlineStr">
        <is>
          <t>[Ex 6.1] vol (arredondado)</t>
        </is>
      </c>
      <c r="L644" s="61">
        <f>IFERROR(ROUND($L$624,IF($L$624=0,0,4-INT(LOG10(ABS($L$624))))),"")</f>
        <v>3.3333</v>
      </c>
    </row>
    <row r="645">
      <c r="K645" s="61" t="inlineStr">
        <is>
          <t>[Ex 6.1] vol (texto)</t>
        </is>
      </c>
      <c r="L645" s="61" t="str">
        <f>IF(ISNUMBER($L$644),FIXED($L$644,IF(ROUND($L$644,0)=$L$644,0,IF(ROUND($L$644,1)=$L$644,1,IF(ROUND($L$644,2)=$L$644,2,IF(ROUND($L$644,3)=$L$644,3,IF(ROUND($L$644,4)=$L$644,4,IF(ROUND($L$644,5)=$L$644,5,IF(ROUND($L$644,6)=$L$644,6,7)))))))),"?")</f>
        <v>3,3333</v>
      </c>
    </row>
    <row r="646">
      <c r="K646" s="61" t="inlineStr">
        <is>
          <t>[Ex 6.2] fQ</t>
        </is>
      </c>
      <c r="L646" s="61">
        <f>IFERROR(CHOOSE(MATCH('07 — Dosagem Química'!$D$25,{"m³/dia","m³/h","L/s"},0),1,24,86.4),"")</f>
        <v>86.4</v>
      </c>
    </row>
    <row r="647">
      <c r="K647" s="61" t="inlineStr">
        <is>
          <t>[Ex 6.2] Qd</t>
        </is>
      </c>
      <c r="L647" s="61">
        <f>IFERROR('07 — Dosagem Química'!$D$24*$L$646,"")</f>
        <v>2160</v>
      </c>
    </row>
    <row r="648">
      <c r="K648" s="61" t="inlineStr">
        <is>
          <t>[Ex 6.2] frac</t>
        </is>
      </c>
      <c r="L648" s="61">
        <f>IFERROR('07 — Dosagem Química'!$D$27/100,"")</f>
        <v>0.12</v>
      </c>
    </row>
    <row r="649">
      <c r="K649" s="61" t="inlineStr">
        <is>
          <t>[Ex 6.2] ma</t>
        </is>
      </c>
      <c r="L649" s="61">
        <f>IFERROR($L$647*'07 — Dosagem Química'!$D$26*0.001,"")</f>
        <v>4.32</v>
      </c>
    </row>
    <row r="650">
      <c r="K650" s="61" t="inlineStr">
        <is>
          <t>[Ex 6.2] mc</t>
        </is>
      </c>
      <c r="L650" s="61">
        <f>IFERROR($L$649/$L$648,"")</f>
        <v>36</v>
      </c>
    </row>
    <row r="651">
      <c r="K651" s="61" t="inlineStr">
        <is>
          <t>[Ex 6.2] vol</t>
        </is>
      </c>
      <c r="L651" s="61">
        <f>IFERROR(IF('07 — Dosagem Química'!$D$28="","",$L$650/'07 — Dosagem Química'!$D$28),"")</f>
        <v>30</v>
      </c>
    </row>
    <row r="652">
      <c r="K652" s="61" t="inlineStr">
        <is>
          <t>[Ex 6.2] Dc</t>
        </is>
      </c>
      <c r="L652" s="61">
        <f>IFERROR('07 — Dosagem Química'!$D$26/$L$648,"")</f>
        <v>16.6666666666667</v>
      </c>
    </row>
    <row r="653">
      <c r="K653" s="61" t="inlineStr">
        <is>
          <t>[Ex 6.2] mcm</t>
        </is>
      </c>
      <c r="L653" s="61">
        <f>IFERROR($L$650*30,"")</f>
        <v>1080</v>
      </c>
    </row>
    <row r="654">
      <c r="K654" s="61" t="inlineStr">
        <is>
          <t>[Ex 6.2] vol_txt</t>
        </is>
      </c>
      <c r="L654" s="61">
        <f>IFERROR(IF('07 — Dosagem Química'!$D$28="","sem densidade",$L$651),"")</f>
        <v>30</v>
      </c>
    </row>
    <row r="655">
      <c r="K655" s="61" t="inlineStr">
        <is>
          <t>[Ex 6.2] D (arredondado)</t>
        </is>
      </c>
      <c r="L655" s="61">
        <f>IFERROR(ROUND('07 — Dosagem Química'!$D$26,IF('07 — Dosagem Química'!$D$26=0,0,4-INT(LOG10(ABS('07 — Dosagem Química'!$D$26))))),"")</f>
        <v>2</v>
      </c>
    </row>
    <row r="656">
      <c r="K656" s="61" t="inlineStr">
        <is>
          <t>[Ex 6.2] D (texto)</t>
        </is>
      </c>
      <c r="L656" s="61" t="str">
        <f>IF(ISNUMBER($L$655),FIXED($L$655,IF(ROUND($L$655,0)=$L$655,0,IF(ROUND($L$655,1)=$L$655,1,IF(ROUND($L$655,2)=$L$655,2,IF(ROUND($L$655,3)=$L$655,3,IF(ROUND($L$655,4)=$L$655,4,IF(ROUND($L$655,5)=$L$655,5,IF(ROUND($L$655,6)=$L$655,6,7)))))))),"?")</f>
        <v>2</v>
      </c>
    </row>
    <row r="657">
      <c r="K657" s="61" t="inlineStr">
        <is>
          <t>[Ex 6.2] Q (arredondado)</t>
        </is>
      </c>
      <c r="L657" s="61">
        <f>IFERROR(ROUND('07 — Dosagem Química'!$D$24,IF('07 — Dosagem Química'!$D$24=0,0,4-INT(LOG10(ABS('07 — Dosagem Química'!$D$24))))),"")</f>
        <v>25</v>
      </c>
    </row>
    <row r="658">
      <c r="K658" s="61" t="inlineStr">
        <is>
          <t>[Ex 6.2] Q (texto)</t>
        </is>
      </c>
      <c r="L658" s="61" t="str">
        <f>IF(ISNUMBER($L$657),FIXED($L$657,IF(ROUND($L$657,0)=$L$657,0,IF(ROUND($L$657,1)=$L$657,1,IF(ROUND($L$657,2)=$L$657,2,IF(ROUND($L$657,3)=$L$657,3,IF(ROUND($L$657,4)=$L$657,4,IF(ROUND($L$657,5)=$L$657,5,IF(ROUND($L$657,6)=$L$657,6,7)))))))),"?")</f>
        <v>25</v>
      </c>
    </row>
    <row r="659">
      <c r="K659" s="61" t="inlineStr">
        <is>
          <t>[Ex 6.2] dens (arredondado)</t>
        </is>
      </c>
      <c r="L659" s="61">
        <f>IFERROR(ROUND('07 — Dosagem Química'!$D$28,IF('07 — Dosagem Química'!$D$28=0,0,4-INT(LOG10(ABS('07 — Dosagem Química'!$D$28))))),"")</f>
        <v>1.2</v>
      </c>
    </row>
    <row r="660">
      <c r="K660" s="61" t="inlineStr">
        <is>
          <t>[Ex 6.2] dens (texto)</t>
        </is>
      </c>
      <c r="L660" s="61" t="str">
        <f>IF(ISNUMBER($L$659),FIXED($L$659,IF(ROUND($L$659,0)=$L$659,0,IF(ROUND($L$659,1)=$L$659,1,IF(ROUND($L$659,2)=$L$659,2,IF(ROUND($L$659,3)=$L$659,3,IF(ROUND($L$659,4)=$L$659,4,IF(ROUND($L$659,5)=$L$659,5,IF(ROUND($L$659,6)=$L$659,6,7)))))))),"?")</f>
        <v>1,2</v>
      </c>
    </row>
    <row r="661">
      <c r="K661" s="61" t="inlineStr">
        <is>
          <t>[Ex 6.2] pct (arredondado)</t>
        </is>
      </c>
      <c r="L661" s="61">
        <f>IFERROR(ROUND('07 — Dosagem Química'!$D$27,IF('07 — Dosagem Química'!$D$27=0,0,4-INT(LOG10(ABS('07 — Dosagem Química'!$D$27))))),"")</f>
        <v>12</v>
      </c>
    </row>
    <row r="662">
      <c r="K662" s="61" t="inlineStr">
        <is>
          <t>[Ex 6.2] pct (texto)</t>
        </is>
      </c>
      <c r="L662" s="61" t="str">
        <f>IF(ISNUMBER($L$661),FIXED($L$661,IF(ROUND($L$661,0)=$L$661,0,IF(ROUND($L$661,1)=$L$661,1,IF(ROUND($L$661,2)=$L$661,2,IF(ROUND($L$661,3)=$L$661,3,IF(ROUND($L$661,4)=$L$661,4,IF(ROUND($L$661,5)=$L$661,5,IF(ROUND($L$661,6)=$L$661,6,7)))))))),"?")</f>
        <v>12</v>
      </c>
    </row>
    <row r="663">
      <c r="K663" s="61" t="inlineStr">
        <is>
          <t>[Ex 6.2] Qd (arredondado)</t>
        </is>
      </c>
      <c r="L663" s="61">
        <f>IFERROR(ROUND($L$647,IF($L$647=0,0,4-INT(LOG10(ABS($L$647))))),"")</f>
        <v>2160</v>
      </c>
    </row>
    <row r="664">
      <c r="K664" s="61" t="inlineStr">
        <is>
          <t>[Ex 6.2] Qd (texto)</t>
        </is>
      </c>
      <c r="L664" s="61" t="str">
        <f>IF(ISNUMBER($L$663),FIXED($L$663,IF(ROUND($L$663,0)=$L$663,0,IF(ROUND($L$663,1)=$L$663,1,IF(ROUND($L$663,2)=$L$663,2,IF(ROUND($L$663,3)=$L$663,3,IF(ROUND($L$663,4)=$L$663,4,IF(ROUND($L$663,5)=$L$663,5,IF(ROUND($L$663,6)=$L$663,6,7)))))))),"?")</f>
        <v>2.160</v>
      </c>
    </row>
    <row r="665">
      <c r="K665" s="61" t="inlineStr">
        <is>
          <t>[Ex 6.2] frac (arredondado)</t>
        </is>
      </c>
      <c r="L665" s="61">
        <f>IFERROR(ROUND($L$648,IF($L$648=0,0,4-INT(LOG10(ABS($L$648))))),"")</f>
        <v>0.12</v>
      </c>
    </row>
    <row r="666">
      <c r="K666" s="61" t="inlineStr">
        <is>
          <t>[Ex 6.2] frac (texto)</t>
        </is>
      </c>
      <c r="L666" s="61" t="str">
        <f>IF(ISNUMBER($L$665),FIXED($L$665,IF(ROUND($L$665,0)=$L$665,0,IF(ROUND($L$665,1)=$L$665,1,IF(ROUND($L$665,2)=$L$665,2,IF(ROUND($L$665,3)=$L$665,3,IF(ROUND($L$665,4)=$L$665,4,IF(ROUND($L$665,5)=$L$665,5,IF(ROUND($L$665,6)=$L$665,6,7)))))))),"?")</f>
        <v>0,12</v>
      </c>
    </row>
    <row r="667">
      <c r="K667" s="61" t="inlineStr">
        <is>
          <t>[Ex 6.2] ma (arredondado)</t>
        </is>
      </c>
      <c r="L667" s="61">
        <f>IFERROR(ROUND($L$649,IF($L$649=0,0,4-INT(LOG10(ABS($L$649))))),"")</f>
        <v>4.32</v>
      </c>
    </row>
    <row r="668">
      <c r="K668" s="61" t="inlineStr">
        <is>
          <t>[Ex 6.2] ma (texto)</t>
        </is>
      </c>
      <c r="L668" s="61" t="str">
        <f>IF(ISNUMBER($L$667),FIXED($L$667,IF(ROUND($L$667,0)=$L$667,0,IF(ROUND($L$667,1)=$L$667,1,IF(ROUND($L$667,2)=$L$667,2,IF(ROUND($L$667,3)=$L$667,3,IF(ROUND($L$667,4)=$L$667,4,IF(ROUND($L$667,5)=$L$667,5,IF(ROUND($L$667,6)=$L$667,6,7)))))))),"?")</f>
        <v>4,32</v>
      </c>
    </row>
    <row r="669">
      <c r="K669" s="61" t="inlineStr">
        <is>
          <t>[Ex 6.2] mc (arredondado)</t>
        </is>
      </c>
      <c r="L669" s="61">
        <f>IFERROR(ROUND($L$650,IF($L$650=0,0,4-INT(LOG10(ABS($L$650))))),"")</f>
        <v>36</v>
      </c>
    </row>
    <row r="670">
      <c r="K670" s="61" t="inlineStr">
        <is>
          <t>[Ex 6.2] mc (texto)</t>
        </is>
      </c>
      <c r="L670" s="61" t="str">
        <f>IF(ISNUMBER($L$669),FIXED($L$669,IF(ROUND($L$669,0)=$L$669,0,IF(ROUND($L$669,1)=$L$669,1,IF(ROUND($L$669,2)=$L$669,2,IF(ROUND($L$669,3)=$L$669,3,IF(ROUND($L$669,4)=$L$669,4,IF(ROUND($L$669,5)=$L$669,5,IF(ROUND($L$669,6)=$L$669,6,7)))))))),"?")</f>
        <v>36</v>
      </c>
    </row>
    <row r="671">
      <c r="K671" s="61" t="inlineStr">
        <is>
          <t>[Ex 6.2] vol (arredondado)</t>
        </is>
      </c>
      <c r="L671" s="61">
        <f>IFERROR(ROUND($L$651,IF($L$651=0,0,4-INT(LOG10(ABS($L$651))))),"")</f>
        <v>30</v>
      </c>
    </row>
    <row r="672">
      <c r="K672" s="61" t="inlineStr">
        <is>
          <t>[Ex 6.2] vol (texto)</t>
        </is>
      </c>
      <c r="L672" s="61" t="str">
        <f>IF(ISNUMBER($L$671),FIXED($L$671,IF(ROUND($L$671,0)=$L$671,0,IF(ROUND($L$671,1)=$L$671,1,IF(ROUND($L$671,2)=$L$671,2,IF(ROUND($L$671,3)=$L$671,3,IF(ROUND($L$671,4)=$L$671,4,IF(ROUND($L$671,5)=$L$671,5,IF(ROUND($L$671,6)=$L$671,6,7)))))))),"?")</f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99">
    <mergeCell ref="B302:F302"/>
    <mergeCell ref="C25:H25"/>
    <mergeCell ref="C103:H103"/>
    <mergeCell ref="C85:H85"/>
    <mergeCell ref="C117:H117"/>
    <mergeCell ref="C143:H143"/>
    <mergeCell ref="C55:H55"/>
    <mergeCell ref="C168:H168"/>
    <mergeCell ref="C196:H196"/>
    <mergeCell ref="B98:G98"/>
    <mergeCell ref="C230:H230"/>
    <mergeCell ref="C261:H261"/>
    <mergeCell ref="C270:H270"/>
    <mergeCell ref="C9:H9"/>
    <mergeCell ref="C180:H180"/>
    <mergeCell ref="C118:H118"/>
    <mergeCell ref="C75:H75"/>
    <mergeCell ref="C133:H133"/>
    <mergeCell ref="B292:F292"/>
    <mergeCell ref="C127:H127"/>
    <mergeCell ref="C167:H167"/>
    <mergeCell ref="C198:H198"/>
    <mergeCell ref="C238:H238"/>
    <mergeCell ref="C232:H232"/>
    <mergeCell ref="B236:F236"/>
    <mergeCell ref="C247:H247"/>
    <mergeCell ref="C303:H303"/>
    <mergeCell ref="B27:F27"/>
    <mergeCell ref="C59:H59"/>
    <mergeCell ref="B267:G267"/>
    <mergeCell ref="C11:H11"/>
    <mergeCell ref="C295:H295"/>
    <mergeCell ref="C273:H273"/>
    <mergeCell ref="C169:H169"/>
    <mergeCell ref="G292:H292"/>
    <mergeCell ref="C52:H52"/>
    <mergeCell ref="G57:H57"/>
    <mergeCell ref="C61:H61"/>
    <mergeCell ref="C39:H39"/>
    <mergeCell ref="C144:H144"/>
    <mergeCell ref="C272:H272"/>
    <mergeCell ref="C48:H48"/>
    <mergeCell ref="C153:H153"/>
    <mergeCell ref="C224:H224"/>
    <mergeCell ref="C233:H233"/>
    <mergeCell ref="C72:H72"/>
    <mergeCell ref="C32:H32"/>
    <mergeCell ref="C38:H38"/>
    <mergeCell ref="C81:H81"/>
    <mergeCell ref="C125:H125"/>
    <mergeCell ref="C208:H208"/>
    <mergeCell ref="C217:H217"/>
    <mergeCell ref="C13:H13"/>
    <mergeCell ref="B37:F37"/>
    <mergeCell ref="C78:H78"/>
    <mergeCell ref="C136:H136"/>
    <mergeCell ref="B2:H2"/>
    <mergeCell ref="C145:H145"/>
    <mergeCell ref="C249:H249"/>
    <mergeCell ref="C258:H258"/>
    <mergeCell ref="B279:F279"/>
    <mergeCell ref="C154:H154"/>
    <mergeCell ref="G206:H206"/>
    <mergeCell ref="G163:H163"/>
    <mergeCell ref="C210:H210"/>
    <mergeCell ref="G110:H110"/>
    <mergeCell ref="C24:H24"/>
    <mergeCell ref="C107:H107"/>
    <mergeCell ref="C89:H89"/>
    <mergeCell ref="G100:H100"/>
    <mergeCell ref="C104:H104"/>
    <mergeCell ref="C116:H116"/>
    <mergeCell ref="G183:H183"/>
    <mergeCell ref="C187:H187"/>
    <mergeCell ref="B256:F256"/>
    <mergeCell ref="G256:H256"/>
    <mergeCell ref="C260:H260"/>
    <mergeCell ref="C79:H79"/>
    <mergeCell ref="C184:H184"/>
    <mergeCell ref="C73:H73"/>
    <mergeCell ref="C88:H88"/>
    <mergeCell ref="C250:H250"/>
    <mergeCell ref="G193:H193"/>
    <mergeCell ref="C171:H171"/>
    <mergeCell ref="C3:D3"/>
    <mergeCell ref="C231:H231"/>
    <mergeCell ref="E3:F3"/>
    <mergeCell ref="C63:H63"/>
    <mergeCell ref="C121:H121"/>
    <mergeCell ref="C10:H10"/>
    <mergeCell ref="C41:H41"/>
    <mergeCell ref="G77:H77"/>
    <mergeCell ref="C93:H93"/>
    <mergeCell ref="C50:H50"/>
    <mergeCell ref="C134:H134"/>
    <mergeCell ref="C212:H212"/>
    <mergeCell ref="C221:H221"/>
    <mergeCell ref="C277:H277"/>
    <mergeCell ref="C286:H286"/>
    <mergeCell ref="G67:H67"/>
    <mergeCell ref="C105:H105"/>
    <mergeCell ref="C276:H276"/>
    <mergeCell ref="C43:H43"/>
    <mergeCell ref="C214:H214"/>
    <mergeCell ref="C223:H223"/>
    <mergeCell ref="C115:H115"/>
    <mergeCell ref="C305:H305"/>
    <mergeCell ref="C207:H207"/>
    <mergeCell ref="C213:H213"/>
    <mergeCell ref="C300:H300"/>
    <mergeCell ref="K1:L1"/>
    <mergeCell ref="B120:F120"/>
    <mergeCell ref="C287:H287"/>
    <mergeCell ref="B7:H7"/>
    <mergeCell ref="C135:H135"/>
    <mergeCell ref="C262:H262"/>
    <mergeCell ref="B17:F17"/>
    <mergeCell ref="C122:H122"/>
    <mergeCell ref="B57:F57"/>
    <mergeCell ref="C158:H158"/>
    <mergeCell ref="C240:H240"/>
    <mergeCell ref="C19:H19"/>
    <mergeCell ref="C190:H190"/>
    <mergeCell ref="C28:H28"/>
    <mergeCell ref="C199:H199"/>
    <mergeCell ref="C264:H264"/>
    <mergeCell ref="C304:H304"/>
    <mergeCell ref="C186:H186"/>
    <mergeCell ref="G269:H269"/>
    <mergeCell ref="C69:H69"/>
    <mergeCell ref="C83:H83"/>
    <mergeCell ref="C254:H254"/>
    <mergeCell ref="B269:F269"/>
    <mergeCell ref="C248:H248"/>
    <mergeCell ref="C92:H92"/>
    <mergeCell ref="C263:H263"/>
    <mergeCell ref="C30:H30"/>
    <mergeCell ref="G302:H302"/>
    <mergeCell ref="C62:H62"/>
    <mergeCell ref="G246:H246"/>
    <mergeCell ref="C185:H185"/>
    <mergeCell ref="C191:H191"/>
    <mergeCell ref="C234:H234"/>
    <mergeCell ref="B216:F216"/>
    <mergeCell ref="C64:H64"/>
    <mergeCell ref="C306:H306"/>
    <mergeCell ref="C147:H147"/>
    <mergeCell ref="G236:H236"/>
    <mergeCell ref="C218:H218"/>
    <mergeCell ref="G140:H140"/>
    <mergeCell ref="B173:F173"/>
    <mergeCell ref="C280:H280"/>
    <mergeCell ref="C227:H227"/>
    <mergeCell ref="C54:H54"/>
    <mergeCell ref="B47:F47"/>
    <mergeCell ref="C137:H137"/>
    <mergeCell ref="C177:H177"/>
    <mergeCell ref="G130:H130"/>
    <mergeCell ref="C146:H146"/>
    <mergeCell ref="C40:H40"/>
    <mergeCell ref="C124:H124"/>
    <mergeCell ref="C211:H211"/>
    <mergeCell ref="C164:H164"/>
    <mergeCell ref="B150:F150"/>
    <mergeCell ref="B193:F193"/>
    <mergeCell ref="C282:H282"/>
    <mergeCell ref="B290:G290"/>
    <mergeCell ref="C252:H252"/>
    <mergeCell ref="C201:H201"/>
    <mergeCell ref="B5:H5"/>
    <mergeCell ref="C90:H90"/>
    <mergeCell ref="C148:H148"/>
    <mergeCell ref="C188:H188"/>
    <mergeCell ref="C71:H71"/>
    <mergeCell ref="C222:H222"/>
    <mergeCell ref="C123:H123"/>
    <mergeCell ref="C138:H138"/>
    <mergeCell ref="C251:H251"/>
    <mergeCell ref="C132:H132"/>
    <mergeCell ref="C181:H181"/>
    <mergeCell ref="G37:H37"/>
    <mergeCell ref="C8:H8"/>
    <mergeCell ref="B15:G15"/>
    <mergeCell ref="C82:H82"/>
    <mergeCell ref="C253:H253"/>
    <mergeCell ref="C165:H165"/>
    <mergeCell ref="G87:H87"/>
    <mergeCell ref="C174:H174"/>
    <mergeCell ref="B87:F87"/>
    <mergeCell ref="C155:H155"/>
    <mergeCell ref="C237:H237"/>
    <mergeCell ref="C293:H293"/>
    <mergeCell ref="C308:H308"/>
    <mergeCell ref="C189:H189"/>
    <mergeCell ref="C53:H53"/>
    <mergeCell ref="C102:H102"/>
    <mergeCell ref="C229:H229"/>
    <mergeCell ref="C111:H111"/>
    <mergeCell ref="B226:F226"/>
    <mergeCell ref="C34:H34"/>
    <mergeCell ref="C179:H179"/>
    <mergeCell ref="C68:H68"/>
    <mergeCell ref="C157:H157"/>
    <mergeCell ref="C239:H239"/>
    <mergeCell ref="B183:F183"/>
    <mergeCell ref="C108:H108"/>
    <mergeCell ref="C166:H166"/>
    <mergeCell ref="C310:H310"/>
    <mergeCell ref="C175:H175"/>
    <mergeCell ref="C58:H58"/>
    <mergeCell ref="C294:H294"/>
    <mergeCell ref="C45:H45"/>
    <mergeCell ref="C128:H128"/>
    <mergeCell ref="G226:H226"/>
    <mergeCell ref="C281:H281"/>
    <mergeCell ref="C20:H20"/>
    <mergeCell ref="C113:H113"/>
    <mergeCell ref="B163:F163"/>
    <mergeCell ref="G173:H173"/>
    <mergeCell ref="C29:H29"/>
    <mergeCell ref="B110:F110"/>
    <mergeCell ref="C200:H200"/>
    <mergeCell ref="C112:H112"/>
    <mergeCell ref="B206:F206"/>
    <mergeCell ref="C94:H94"/>
    <mergeCell ref="C65:H65"/>
    <mergeCell ref="C152:H152"/>
    <mergeCell ref="C271:H271"/>
    <mergeCell ref="C274:H274"/>
    <mergeCell ref="B100:F100"/>
    <mergeCell ref="C44:H44"/>
    <mergeCell ref="C84:H84"/>
    <mergeCell ref="C22:H22"/>
    <mergeCell ref="C142:H142"/>
    <mergeCell ref="G27:H27"/>
    <mergeCell ref="C31:H31"/>
    <mergeCell ref="C80:H80"/>
    <mergeCell ref="C114:H114"/>
    <mergeCell ref="G120:H120"/>
    <mergeCell ref="C176:H176"/>
    <mergeCell ref="B140:F140"/>
    <mergeCell ref="C242:H242"/>
    <mergeCell ref="C12:H12"/>
    <mergeCell ref="G17:H17"/>
    <mergeCell ref="C21:H21"/>
    <mergeCell ref="C257:H257"/>
    <mergeCell ref="C51:H51"/>
    <mergeCell ref="C95:H95"/>
    <mergeCell ref="B130:F130"/>
    <mergeCell ref="B77:F77"/>
    <mergeCell ref="C60:H60"/>
    <mergeCell ref="C178:H178"/>
    <mergeCell ref="C244:H244"/>
    <mergeCell ref="C297:H297"/>
    <mergeCell ref="C70:H70"/>
    <mergeCell ref="C241:H241"/>
    <mergeCell ref="C219:H219"/>
    <mergeCell ref="C23:H23"/>
    <mergeCell ref="B67:F67"/>
    <mergeCell ref="C194:H194"/>
    <mergeCell ref="C106:H106"/>
    <mergeCell ref="C228:H228"/>
    <mergeCell ref="C299:H299"/>
    <mergeCell ref="C296:H296"/>
    <mergeCell ref="C209:H209"/>
    <mergeCell ref="C91:H91"/>
    <mergeCell ref="C243:H243"/>
    <mergeCell ref="C283:H283"/>
    <mergeCell ref="B204:G204"/>
    <mergeCell ref="C170:H170"/>
    <mergeCell ref="G279:H279"/>
    <mergeCell ref="C131:H131"/>
    <mergeCell ref="C298:H298"/>
    <mergeCell ref="C307:H307"/>
    <mergeCell ref="C18:H18"/>
    <mergeCell ref="C49:H49"/>
    <mergeCell ref="G216:H216"/>
    <mergeCell ref="C101:H101"/>
    <mergeCell ref="C220:H220"/>
    <mergeCell ref="B246:F246"/>
    <mergeCell ref="C285:H285"/>
    <mergeCell ref="C195:H195"/>
    <mergeCell ref="C33:H33"/>
    <mergeCell ref="C275:H275"/>
    <mergeCell ref="C42:H42"/>
    <mergeCell ref="C156:H156"/>
    <mergeCell ref="C151:H151"/>
    <mergeCell ref="C284:H284"/>
    <mergeCell ref="B1:H1"/>
    <mergeCell ref="G47:H47"/>
    <mergeCell ref="C74:H74"/>
    <mergeCell ref="C126:H126"/>
    <mergeCell ref="C141:H141"/>
    <mergeCell ref="C197:H197"/>
    <mergeCell ref="G150:H150"/>
    <mergeCell ref="C259:H259"/>
    <mergeCell ref="C35:H35"/>
    <mergeCell ref="B161:G161"/>
    <mergeCell ref="C309:H309"/>
  </mergeCells>
  <hyperlinks>
    <hyperlink ref="B3" location="'00 — Painel Inicial'!A1" tooltip="Ir para 00 — Painel Inicial" display="🏠  Painel"/>
    <hyperlink ref="C3" location="'01 — Comece Aqui'!A1" tooltip="Ir para 01 — Comece Aqui" display="📘  Guia"/>
    <hyperlink ref="E3" location="'08 — Exemplos Resolvidos'!A1" tooltip="Ir para 08 — Exemplos Resolvidos" display="📚  Exemplos"/>
    <hyperlink ref="G3" location="'07 — Dosagem Química'!A1" tooltip="Ir para 07 — Dosagem Química" display="◀ Anterior"/>
    <hyperlink ref="H3" location="'00 — Painel Inicial'!A1" tooltip="Ir para 00 — Painel Inicial" display="Próxima aba ▶"/>
    <hyperlink ref="B8" location="'08 — Exemplos Resolvidos'!B15" tooltip="Ir para 08 — Exemplos Resolvidos" display="💧  01 · Vazão e Hidráulica"/>
    <hyperlink ref="B9" location="'08 — Exemplos Resolvidos'!B98" tooltip="Ir para 08 — Exemplos Resolvidos" display="🏭  02 · Carga Poluidora"/>
    <hyperlink ref="B10" location="'08 — Exemplos Resolvidos'!B161" tooltip="Ir para 08 — Exemplos Resolvidos" display="📉  03 · Eficiência"/>
    <hyperlink ref="B11" location="'08 — Exemplos Resolvidos'!B204" tooltip="Ir para 08 — Exemplos Resolvidos" display="⚖️  04 · Balanço de Massa"/>
    <hyperlink ref="B12" location="'08 — Exemplos Resolvidos'!B267" tooltip="Ir para 08 — Exemplos Resolvidos" display="🧪  05 · Diluição"/>
    <hyperlink ref="B13" location="'08 — Exemplos Resolvidos'!B290" tooltip="Ir para 08 — Exemplos Resolvidos" display="⚗️  06 · Dosagem Química"/>
    <hyperlink ref="H15" location="'08 — Exemplos Resolvidos'!A1" tooltip="Ir para 08 — Exemplos Resolvidos" display="▲ Voltar ao índice"/>
    <hyperlink ref="G17" location="'02 — Vazão e Hidráulica'!B22" tooltip="Ir para 02 — Vazão e Hidráulica" display="▶ Abrir na calculadora"/>
    <hyperlink ref="G27" location="'02 — Vazão e Hidráulica'!B22" tooltip="Ir para 02 — Vazão e Hidráulica" display="▶ Abrir na calculadora"/>
    <hyperlink ref="G37" location="'02 — Vazão e Hidráulica'!B58" tooltip="Ir para 02 — Vazão e Hidráulica" display="▶ Abrir na calculadora"/>
    <hyperlink ref="G47" location="'02 — Vazão e Hidráulica'!B58" tooltip="Ir para 02 — Vazão e Hidráulica" display="▶ Abrir na calculadora"/>
    <hyperlink ref="G57" location="'02 — Vazão e Hidráulica'!B93" tooltip="Ir para 02 — Vazão e Hidráulica" display="▶ Abrir na calculadora"/>
    <hyperlink ref="G67" location="'02 — Vazão e Hidráulica'!B93" tooltip="Ir para 02 — Vazão e Hidráulica" display="▶ Abrir na calculadora"/>
    <hyperlink ref="G77" location="'02 — Vazão e Hidráulica'!B129" tooltip="Ir para 02 — Vazão e Hidráulica" display="▶ Abrir na calculadora"/>
    <hyperlink ref="G87" location="'02 — Vazão e Hidráulica'!B129" tooltip="Ir para 02 — Vazão e Hidráulica" display="▶ Abrir na calculadora"/>
    <hyperlink ref="H98" location="'08 — Exemplos Resolvidos'!A1" tooltip="Ir para 08 — Exemplos Resolvidos" display="▲ Voltar ao índice"/>
    <hyperlink ref="G100" location="'03 — Carga Poluidora'!B21" tooltip="Ir para 03 — Carga Poluidora" display="▶ Abrir na calculadora"/>
    <hyperlink ref="G110" location="'03 — Carga Poluidora'!B21" tooltip="Ir para 03 — Carga Poluidora" display="▶ Abrir na calculadora"/>
    <hyperlink ref="G120" location="'03 — Carga Poluidora'!B57" tooltip="Ir para 03 — Carga Poluidora" display="▶ Abrir na calculadora"/>
    <hyperlink ref="G130" location="'03 — Carga Poluidora'!B57" tooltip="Ir para 03 — Carga Poluidora" display="▶ Abrir na calculadora"/>
    <hyperlink ref="G140" location="'03 — Carga Poluidora'!B93" tooltip="Ir para 03 — Carga Poluidora" display="▶ Abrir na calculadora"/>
    <hyperlink ref="G150" location="'03 — Carga Poluidora'!B93" tooltip="Ir para 03 — Carga Poluidora" display="▶ Abrir na calculadora"/>
    <hyperlink ref="H161" location="'08 — Exemplos Resolvidos'!A1" tooltip="Ir para 08 — Exemplos Resolvidos" display="▲ Voltar ao índice"/>
    <hyperlink ref="G163" location="'04 — Eficiência de Tratamento'!B20" tooltip="Ir para 04 — Eficiência de Tratamento" display="▶ Abrir na calculadora"/>
    <hyperlink ref="G173" location="'04 — Eficiência de Tratamento'!B20" tooltip="Ir para 04 — Eficiência de Tratamento" display="▶ Abrir na calculadora"/>
    <hyperlink ref="G183" location="'04 — Eficiência de Tratamento'!B72" tooltip="Ir para 04 — Eficiência de Tratamento" display="▶ Abrir na calculadora"/>
    <hyperlink ref="G193" location="'04 — Eficiência de Tratamento'!B72" tooltip="Ir para 04 — Eficiência de Tratamento" display="▶ Abrir na calculadora"/>
    <hyperlink ref="H204" location="'08 — Exemplos Resolvidos'!A1" tooltip="Ir para 08 — Exemplos Resolvidos" display="▲ Voltar ao índice"/>
    <hyperlink ref="G206" location="'05 — Balanço de Massa'!B21" tooltip="Ir para 05 — Balanço de Massa" display="▶ Abrir na calculadora"/>
    <hyperlink ref="G216" location="'05 — Balanço de Massa'!B21" tooltip="Ir para 05 — Balanço de Massa" display="▶ Abrir na calculadora"/>
    <hyperlink ref="G226" location="'05 — Balanço de Massa'!B73" tooltip="Ir para 05 — Balanço de Massa" display="▶ Abrir na calculadora"/>
    <hyperlink ref="G236" location="'05 — Balanço de Massa'!B73" tooltip="Ir para 05 — Balanço de Massa" display="▶ Abrir na calculadora"/>
    <hyperlink ref="G246" location="'05 — Balanço de Massa'!B126" tooltip="Ir para 05 — Balanço de Massa" display="▶ Abrir na calculadora"/>
    <hyperlink ref="G256" location="'05 — Balanço de Massa'!B126" tooltip="Ir para 05 — Balanço de Massa" display="▶ Abrir na calculadora"/>
    <hyperlink ref="H267" location="'08 — Exemplos Resolvidos'!A1" tooltip="Ir para 08 — Exemplos Resolvidos" display="▲ Voltar ao índice"/>
    <hyperlink ref="G269" location="'06 — Diluição de Soluções'!B15" tooltip="Ir para 06 — Diluição de Soluções" display="▶ Abrir na calculadora"/>
    <hyperlink ref="G279" location="'06 — Diluição de Soluções'!B15" tooltip="Ir para 06 — Diluição de Soluções" display="▶ Abrir na calculadora"/>
    <hyperlink ref="H290" location="'08 — Exemplos Resolvidos'!A1" tooltip="Ir para 08 — Exemplos Resolvidos" display="▲ Voltar ao índice"/>
    <hyperlink ref="G292" location="'07 — Dosagem Química'!B15" tooltip="Ir para 07 — Dosagem Química" display="▶ Abrir na calculadora"/>
    <hyperlink ref="G302" location="'07 — Dosagem Química'!B15" tooltip="Ir para 07 — Dosagem Química" display="▶ Abrir na calculadora"/>
  </hyperlink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2026-10-15T16:52:44Z</dcterms:created>
  <dcterms:modified xmlns:dcterms="http://purl.org/dc/terms/" xmlns:xsi="http://www.w3.org/2001/XMLSchema-instance" xsi:type="dcterms:W3CDTF">2026-10-15T16:52:45Z</dcterms:modified>
</cp:coreProperties>
</file>